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ds31036\Downloads\"/>
    </mc:Choice>
  </mc:AlternateContent>
  <xr:revisionPtr revIDLastSave="0" documentId="13_ncr:1_{86E4EE1A-3371-4821-8071-5C96A905542B}" xr6:coauthVersionLast="36" xr6:coauthVersionMax="47" xr10:uidLastSave="{00000000-0000-0000-0000-000000000000}"/>
  <bookViews>
    <workbookView xWindow="0" yWindow="0" windowWidth="28800" windowHeight="12225" activeTab="7" xr2:uid="{00000000-000D-0000-FFFF-FFFF00000000}"/>
  </bookViews>
  <sheets>
    <sheet name="DPR" sheetId="4" r:id="rId1"/>
    <sheet name="DMI" sheetId="67" r:id="rId2"/>
    <sheet name="DPE" sheetId="68" r:id="rId3"/>
    <sheet name="DPZ" sheetId="69" r:id="rId4"/>
    <sheet name="DFE" sheetId="70" r:id="rId5"/>
    <sheet name="DGL" sheetId="71" r:id="rId6"/>
    <sheet name="DGJ" sheetId="72" r:id="rId7"/>
    <sheet name="Performanca" sheetId="77" r:id="rId8"/>
    <sheet name="TOTALI" sheetId="37" r:id="rId9"/>
    <sheet name="Nr. i ekipeve" sheetId="76" state="hidden" r:id="rId10"/>
    <sheet name="01.07.2026" sheetId="5" r:id="rId11"/>
    <sheet name="02.07.2026" sheetId="38" r:id="rId12"/>
    <sheet name="03.07.2026" sheetId="39" r:id="rId13"/>
    <sheet name="04.07.2026" sheetId="40" r:id="rId14"/>
    <sheet name="06.07.2026" sheetId="42" r:id="rId15"/>
    <sheet name="07.07.2026" sheetId="44" r:id="rId16"/>
    <sheet name="08.07.2026" sheetId="45" r:id="rId17"/>
    <sheet name="09.07.2026" sheetId="46" r:id="rId18"/>
    <sheet name="10.07.2026" sheetId="47" r:id="rId19"/>
    <sheet name="11.07.2026" sheetId="48" r:id="rId20"/>
    <sheet name="13.07.2026" sheetId="49" r:id="rId21"/>
    <sheet name="14.07.2026" sheetId="51" r:id="rId22"/>
    <sheet name="15.07.2026" sheetId="52" r:id="rId23"/>
    <sheet name="16.07.2026" sheetId="53" r:id="rId24"/>
    <sheet name="17.07.2026" sheetId="54" r:id="rId25"/>
    <sheet name="18.07.2026" sheetId="55" r:id="rId26"/>
    <sheet name="20.07.2026" sheetId="56" r:id="rId27"/>
    <sheet name="21.07.2026" sheetId="75" r:id="rId28"/>
    <sheet name="22.07.2026" sheetId="58" r:id="rId29"/>
    <sheet name="23.07.2026" sheetId="59" r:id="rId30"/>
    <sheet name="24.07.2026" sheetId="60" r:id="rId31"/>
    <sheet name="25.07.2026" sheetId="61" r:id="rId32"/>
    <sheet name="27.07.2026" sheetId="62" r:id="rId33"/>
    <sheet name="28.07.2026" sheetId="63" r:id="rId34"/>
    <sheet name="29.07.2026" sheetId="65" r:id="rId35"/>
    <sheet name="30.07.2026" sheetId="66" r:id="rId36"/>
    <sheet name="31.07.2026" sheetId="74" r:id="rId3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77" l="1"/>
  <c r="D32" i="77"/>
  <c r="E32" i="77"/>
  <c r="F32" i="77"/>
  <c r="G32" i="77"/>
  <c r="H32" i="77"/>
  <c r="B32" i="77"/>
  <c r="B3" i="77"/>
  <c r="C3" i="77"/>
  <c r="D3" i="77"/>
  <c r="E3" i="77"/>
  <c r="F3" i="77"/>
  <c r="G3" i="77"/>
  <c r="H3" i="77"/>
  <c r="B4" i="77"/>
  <c r="C4" i="77"/>
  <c r="D4" i="77"/>
  <c r="E4" i="77"/>
  <c r="F4" i="77"/>
  <c r="G4" i="77"/>
  <c r="H4" i="77"/>
  <c r="B5" i="77"/>
  <c r="C5" i="77"/>
  <c r="D5" i="77"/>
  <c r="E5" i="77"/>
  <c r="F5" i="77"/>
  <c r="G5" i="77"/>
  <c r="H5" i="77"/>
  <c r="B6" i="77"/>
  <c r="C6" i="77"/>
  <c r="D6" i="77"/>
  <c r="E6" i="77"/>
  <c r="F6" i="77"/>
  <c r="G6" i="77"/>
  <c r="H6" i="77"/>
  <c r="B7" i="77"/>
  <c r="C7" i="77"/>
  <c r="D7" i="77"/>
  <c r="E7" i="77"/>
  <c r="F7" i="77"/>
  <c r="G7" i="77"/>
  <c r="H7" i="77"/>
  <c r="B8" i="77"/>
  <c r="C8" i="77"/>
  <c r="D8" i="77"/>
  <c r="E8" i="77"/>
  <c r="F8" i="77"/>
  <c r="G8" i="77"/>
  <c r="H8" i="77"/>
  <c r="B9" i="77"/>
  <c r="C9" i="77"/>
  <c r="D9" i="77"/>
  <c r="E9" i="77"/>
  <c r="F9" i="77"/>
  <c r="G9" i="77"/>
  <c r="H9" i="77"/>
  <c r="B10" i="77"/>
  <c r="C10" i="77"/>
  <c r="D10" i="77"/>
  <c r="E10" i="77"/>
  <c r="F10" i="77"/>
  <c r="G10" i="77"/>
  <c r="H10" i="77"/>
  <c r="B11" i="77"/>
  <c r="C11" i="77"/>
  <c r="D11" i="77"/>
  <c r="E11" i="77"/>
  <c r="F11" i="77"/>
  <c r="G11" i="77"/>
  <c r="H11" i="77"/>
  <c r="B12" i="77"/>
  <c r="C12" i="77"/>
  <c r="D12" i="77"/>
  <c r="E12" i="77"/>
  <c r="F12" i="77"/>
  <c r="G12" i="77"/>
  <c r="H12" i="77"/>
  <c r="B13" i="77"/>
  <c r="C13" i="77"/>
  <c r="D13" i="77"/>
  <c r="E13" i="77"/>
  <c r="F13" i="77"/>
  <c r="G13" i="77"/>
  <c r="H13" i="77"/>
  <c r="B14" i="77"/>
  <c r="C14" i="77"/>
  <c r="D14" i="77"/>
  <c r="E14" i="77"/>
  <c r="F14" i="77"/>
  <c r="G14" i="77"/>
  <c r="H14" i="77"/>
  <c r="B15" i="77"/>
  <c r="C15" i="77"/>
  <c r="D15" i="77"/>
  <c r="E15" i="77"/>
  <c r="F15" i="77"/>
  <c r="G15" i="77"/>
  <c r="H15" i="77"/>
  <c r="B16" i="77"/>
  <c r="C16" i="77"/>
  <c r="D16" i="77"/>
  <c r="E16" i="77"/>
  <c r="F16" i="77"/>
  <c r="G16" i="77"/>
  <c r="H16" i="77"/>
  <c r="B17" i="77"/>
  <c r="C17" i="77"/>
  <c r="D17" i="77"/>
  <c r="E17" i="77"/>
  <c r="F17" i="77"/>
  <c r="G17" i="77"/>
  <c r="H17" i="77"/>
  <c r="B18" i="77"/>
  <c r="C18" i="77"/>
  <c r="D18" i="77"/>
  <c r="E18" i="77"/>
  <c r="F18" i="77"/>
  <c r="G18" i="77"/>
  <c r="H18" i="77"/>
  <c r="B19" i="77"/>
  <c r="C19" i="77"/>
  <c r="D19" i="77"/>
  <c r="E19" i="77"/>
  <c r="F19" i="77"/>
  <c r="G19" i="77"/>
  <c r="H19" i="77"/>
  <c r="B20" i="77"/>
  <c r="C20" i="77"/>
  <c r="D20" i="77"/>
  <c r="E20" i="77"/>
  <c r="F20" i="77"/>
  <c r="G20" i="77"/>
  <c r="H20" i="77"/>
  <c r="B21" i="77"/>
  <c r="C21" i="77"/>
  <c r="D21" i="77"/>
  <c r="E21" i="77"/>
  <c r="F21" i="77"/>
  <c r="G21" i="77"/>
  <c r="H21" i="77"/>
  <c r="B22" i="77"/>
  <c r="C22" i="77"/>
  <c r="D22" i="77"/>
  <c r="E22" i="77"/>
  <c r="F22" i="77"/>
  <c r="G22" i="77"/>
  <c r="H22" i="77"/>
  <c r="B23" i="77"/>
  <c r="C23" i="77"/>
  <c r="D23" i="77"/>
  <c r="E23" i="77"/>
  <c r="F23" i="77"/>
  <c r="G23" i="77"/>
  <c r="H23" i="77"/>
  <c r="B24" i="77"/>
  <c r="C24" i="77"/>
  <c r="D24" i="77"/>
  <c r="E24" i="77"/>
  <c r="F24" i="77"/>
  <c r="G24" i="77"/>
  <c r="H24" i="77"/>
  <c r="B25" i="77"/>
  <c r="C25" i="77"/>
  <c r="D25" i="77"/>
  <c r="E25" i="77"/>
  <c r="F25" i="77"/>
  <c r="G25" i="77"/>
  <c r="H25" i="77"/>
  <c r="B26" i="77"/>
  <c r="C26" i="77"/>
  <c r="D26" i="77"/>
  <c r="E26" i="77"/>
  <c r="F26" i="77"/>
  <c r="G26" i="77"/>
  <c r="H26" i="77"/>
  <c r="B27" i="77"/>
  <c r="C27" i="77"/>
  <c r="D27" i="77"/>
  <c r="E27" i="77"/>
  <c r="F27" i="77"/>
  <c r="G27" i="77"/>
  <c r="H27" i="77"/>
  <c r="B28" i="77"/>
  <c r="C28" i="77"/>
  <c r="D28" i="77"/>
  <c r="E28" i="77"/>
  <c r="F28" i="77"/>
  <c r="G28" i="77"/>
  <c r="H28" i="77"/>
  <c r="B29" i="77"/>
  <c r="C29" i="77"/>
  <c r="D29" i="77"/>
  <c r="E29" i="77"/>
  <c r="F29" i="77"/>
  <c r="G29" i="77"/>
  <c r="H29" i="77"/>
  <c r="L9" i="46" l="1"/>
  <c r="O8" i="5" l="1"/>
  <c r="Q17" i="74" l="1"/>
  <c r="P17" i="74"/>
  <c r="O17" i="74"/>
  <c r="N17" i="74"/>
  <c r="M17" i="74"/>
  <c r="L17" i="74"/>
  <c r="K17" i="74"/>
  <c r="Q17" i="66"/>
  <c r="P17" i="66"/>
  <c r="O17" i="66"/>
  <c r="N17" i="66"/>
  <c r="M17" i="66"/>
  <c r="L17" i="66"/>
  <c r="K17" i="66"/>
  <c r="Q17" i="65"/>
  <c r="P17" i="65"/>
  <c r="O17" i="65"/>
  <c r="N17" i="65"/>
  <c r="M17" i="65"/>
  <c r="L17" i="65"/>
  <c r="K17" i="65"/>
  <c r="Q17" i="63"/>
  <c r="P17" i="63"/>
  <c r="O17" i="63"/>
  <c r="N17" i="63"/>
  <c r="M17" i="63"/>
  <c r="L17" i="63"/>
  <c r="K17" i="63"/>
  <c r="Q17" i="62"/>
  <c r="P17" i="62"/>
  <c r="O17" i="62"/>
  <c r="N17" i="62"/>
  <c r="M17" i="62"/>
  <c r="L17" i="62"/>
  <c r="K17" i="62"/>
  <c r="Q17" i="61"/>
  <c r="P17" i="61"/>
  <c r="O17" i="61"/>
  <c r="N17" i="61"/>
  <c r="M17" i="61"/>
  <c r="L17" i="61"/>
  <c r="K17" i="61"/>
  <c r="Q17" i="60"/>
  <c r="P17" i="60"/>
  <c r="O17" i="60"/>
  <c r="N17" i="60"/>
  <c r="M17" i="60"/>
  <c r="L17" i="60"/>
  <c r="K17" i="60"/>
  <c r="Q17" i="59"/>
  <c r="P17" i="59"/>
  <c r="O17" i="59"/>
  <c r="N17" i="59"/>
  <c r="M17" i="59"/>
  <c r="L17" i="59"/>
  <c r="K17" i="59"/>
  <c r="Q17" i="58"/>
  <c r="P17" i="58"/>
  <c r="O17" i="58"/>
  <c r="N17" i="58"/>
  <c r="M17" i="58"/>
  <c r="L17" i="58"/>
  <c r="K17" i="58"/>
  <c r="Q17" i="75"/>
  <c r="P17" i="75"/>
  <c r="O17" i="75"/>
  <c r="N17" i="75"/>
  <c r="M17" i="75"/>
  <c r="L17" i="75"/>
  <c r="K17" i="75"/>
  <c r="Q17" i="56"/>
  <c r="P17" i="56"/>
  <c r="O17" i="56"/>
  <c r="N17" i="56"/>
  <c r="M17" i="56"/>
  <c r="L17" i="56"/>
  <c r="K17" i="56"/>
  <c r="Q17" i="55"/>
  <c r="P17" i="55"/>
  <c r="O17" i="55"/>
  <c r="N17" i="55"/>
  <c r="M17" i="55"/>
  <c r="L17" i="55"/>
  <c r="K17" i="55"/>
  <c r="Q17" i="54"/>
  <c r="P17" i="54"/>
  <c r="O17" i="54"/>
  <c r="N17" i="54"/>
  <c r="M17" i="54"/>
  <c r="L17" i="54"/>
  <c r="K17" i="54"/>
  <c r="Q17" i="53"/>
  <c r="P17" i="53"/>
  <c r="O17" i="53"/>
  <c r="N17" i="53"/>
  <c r="M17" i="53"/>
  <c r="L17" i="53"/>
  <c r="K17" i="53"/>
  <c r="Q17" i="52"/>
  <c r="P17" i="52"/>
  <c r="O17" i="52"/>
  <c r="N17" i="52"/>
  <c r="M17" i="52"/>
  <c r="L17" i="52"/>
  <c r="K17" i="52"/>
  <c r="Q17" i="51"/>
  <c r="P17" i="51"/>
  <c r="O17" i="51"/>
  <c r="N17" i="51"/>
  <c r="M17" i="51"/>
  <c r="L17" i="51"/>
  <c r="K17" i="51"/>
  <c r="Q17" i="49"/>
  <c r="P17" i="49"/>
  <c r="O17" i="49"/>
  <c r="N17" i="49"/>
  <c r="M17" i="49"/>
  <c r="L17" i="49"/>
  <c r="K17" i="49"/>
  <c r="Q17" i="48"/>
  <c r="P17" i="48"/>
  <c r="O17" i="48"/>
  <c r="N17" i="48"/>
  <c r="M17" i="48"/>
  <c r="L17" i="48"/>
  <c r="K17" i="48"/>
  <c r="Q17" i="47"/>
  <c r="P17" i="47"/>
  <c r="O17" i="47"/>
  <c r="N17" i="47"/>
  <c r="M17" i="47"/>
  <c r="L17" i="47"/>
  <c r="K17" i="47"/>
  <c r="Q17" i="46"/>
  <c r="P17" i="46"/>
  <c r="O17" i="46"/>
  <c r="N17" i="46"/>
  <c r="M17" i="46"/>
  <c r="L17" i="46"/>
  <c r="K17" i="46"/>
  <c r="Q17" i="45"/>
  <c r="P17" i="45"/>
  <c r="O17" i="45"/>
  <c r="N17" i="45"/>
  <c r="M17" i="45"/>
  <c r="L17" i="45"/>
  <c r="K17" i="45"/>
  <c r="Q17" i="44"/>
  <c r="P17" i="44"/>
  <c r="O17" i="44"/>
  <c r="N17" i="44"/>
  <c r="M17" i="44"/>
  <c r="L17" i="44"/>
  <c r="K17" i="44"/>
  <c r="Q17" i="42"/>
  <c r="P17" i="42"/>
  <c r="O17" i="42"/>
  <c r="N17" i="42"/>
  <c r="M17" i="42"/>
  <c r="L17" i="42"/>
  <c r="K17" i="42"/>
  <c r="Q17" i="40"/>
  <c r="P17" i="40"/>
  <c r="O17" i="40"/>
  <c r="N17" i="40"/>
  <c r="M17" i="40"/>
  <c r="L17" i="40"/>
  <c r="K17" i="40"/>
  <c r="Q17" i="39"/>
  <c r="P17" i="39"/>
  <c r="O17" i="39"/>
  <c r="N17" i="39"/>
  <c r="M17" i="39"/>
  <c r="L17" i="39"/>
  <c r="K17" i="39"/>
  <c r="K17" i="38"/>
  <c r="Q17" i="38"/>
  <c r="P17" i="38"/>
  <c r="O17" i="38"/>
  <c r="N17" i="38"/>
  <c r="M17" i="38"/>
  <c r="L17" i="38"/>
  <c r="L17" i="5"/>
  <c r="M17" i="5"/>
  <c r="N17" i="5"/>
  <c r="O17" i="5"/>
  <c r="P17" i="5"/>
  <c r="Q17" i="5"/>
  <c r="K17" i="5"/>
  <c r="AF9" i="76"/>
  <c r="AE9" i="76"/>
  <c r="AD9" i="76"/>
  <c r="AC9" i="76"/>
  <c r="AB9" i="76"/>
  <c r="Z9" i="76"/>
  <c r="Y9" i="76"/>
  <c r="X9" i="76"/>
  <c r="W9" i="76"/>
  <c r="V9" i="76"/>
  <c r="U9" i="76"/>
  <c r="S9" i="76"/>
  <c r="R9" i="76"/>
  <c r="Q9" i="76"/>
  <c r="P9" i="76"/>
  <c r="O9" i="76"/>
  <c r="N9" i="76"/>
  <c r="L9" i="76"/>
  <c r="K9" i="76"/>
  <c r="J9" i="76"/>
  <c r="I9" i="76"/>
  <c r="H9" i="76"/>
  <c r="G9" i="76"/>
  <c r="E9" i="76"/>
  <c r="D9" i="76"/>
  <c r="C9" i="76"/>
  <c r="B9" i="76"/>
  <c r="AF8" i="76"/>
  <c r="AE8" i="76"/>
  <c r="AD8" i="76"/>
  <c r="AC8" i="76"/>
  <c r="AB8" i="76"/>
  <c r="Z8" i="76"/>
  <c r="Y8" i="76"/>
  <c r="X8" i="76"/>
  <c r="W8" i="76"/>
  <c r="V8" i="76"/>
  <c r="U8" i="76"/>
  <c r="S8" i="76"/>
  <c r="R8" i="76"/>
  <c r="Q8" i="76"/>
  <c r="P8" i="76"/>
  <c r="O8" i="76"/>
  <c r="N8" i="76"/>
  <c r="L8" i="76"/>
  <c r="K8" i="76"/>
  <c r="J8" i="76"/>
  <c r="I8" i="76"/>
  <c r="H8" i="76"/>
  <c r="G8" i="76"/>
  <c r="E8" i="76"/>
  <c r="D8" i="76"/>
  <c r="C8" i="76"/>
  <c r="B8" i="76"/>
  <c r="AF7" i="76"/>
  <c r="AE7" i="76"/>
  <c r="AD7" i="76"/>
  <c r="AC7" i="76"/>
  <c r="AB7" i="76"/>
  <c r="Z7" i="76"/>
  <c r="Y7" i="76"/>
  <c r="X7" i="76"/>
  <c r="W7" i="76"/>
  <c r="V7" i="76"/>
  <c r="U7" i="76"/>
  <c r="S7" i="76"/>
  <c r="R7" i="76"/>
  <c r="Q7" i="76"/>
  <c r="P7" i="76"/>
  <c r="O7" i="76"/>
  <c r="N7" i="76"/>
  <c r="L7" i="76"/>
  <c r="K7" i="76"/>
  <c r="J7" i="76"/>
  <c r="I7" i="76"/>
  <c r="H7" i="76"/>
  <c r="G7" i="76"/>
  <c r="E7" i="76"/>
  <c r="D7" i="76"/>
  <c r="C7" i="76"/>
  <c r="B7" i="76"/>
  <c r="AF6" i="76"/>
  <c r="AE6" i="76"/>
  <c r="AD6" i="76"/>
  <c r="AC6" i="76"/>
  <c r="AB6" i="76"/>
  <c r="Z6" i="76"/>
  <c r="Y6" i="76"/>
  <c r="X6" i="76"/>
  <c r="W6" i="76"/>
  <c r="V6" i="76"/>
  <c r="U6" i="76"/>
  <c r="S6" i="76"/>
  <c r="R6" i="76"/>
  <c r="Q6" i="76"/>
  <c r="P6" i="76"/>
  <c r="O6" i="76"/>
  <c r="N6" i="76"/>
  <c r="L6" i="76"/>
  <c r="K6" i="76"/>
  <c r="J6" i="76"/>
  <c r="I6" i="76"/>
  <c r="H6" i="76"/>
  <c r="G6" i="76"/>
  <c r="E6" i="76"/>
  <c r="D6" i="76"/>
  <c r="C6" i="76"/>
  <c r="B6" i="76"/>
  <c r="AF5" i="76"/>
  <c r="AE5" i="76"/>
  <c r="AD5" i="76"/>
  <c r="AC5" i="76"/>
  <c r="AB5" i="76"/>
  <c r="Z5" i="76"/>
  <c r="Y5" i="76"/>
  <c r="X5" i="76"/>
  <c r="W5" i="76"/>
  <c r="V5" i="76"/>
  <c r="U5" i="76"/>
  <c r="S5" i="76"/>
  <c r="R5" i="76"/>
  <c r="Q5" i="76"/>
  <c r="P5" i="76"/>
  <c r="O5" i="76"/>
  <c r="N5" i="76"/>
  <c r="L5" i="76"/>
  <c r="K5" i="76"/>
  <c r="J5" i="76"/>
  <c r="I5" i="76"/>
  <c r="H5" i="76"/>
  <c r="G5" i="76"/>
  <c r="E5" i="76"/>
  <c r="D5" i="76"/>
  <c r="C5" i="76"/>
  <c r="B5" i="76"/>
  <c r="AF4" i="76"/>
  <c r="AE4" i="76"/>
  <c r="AD4" i="76"/>
  <c r="AC4" i="76"/>
  <c r="AB4" i="76"/>
  <c r="Z4" i="76"/>
  <c r="Y4" i="76"/>
  <c r="X4" i="76"/>
  <c r="W4" i="76"/>
  <c r="V4" i="76"/>
  <c r="U4" i="76"/>
  <c r="S4" i="76"/>
  <c r="R4" i="76"/>
  <c r="Q4" i="76"/>
  <c r="P4" i="76"/>
  <c r="O4" i="76"/>
  <c r="N4" i="76"/>
  <c r="L4" i="76"/>
  <c r="K4" i="76"/>
  <c r="J4" i="76"/>
  <c r="I4" i="76"/>
  <c r="H4" i="76"/>
  <c r="G4" i="76"/>
  <c r="E4" i="76"/>
  <c r="D4" i="76"/>
  <c r="C4" i="76"/>
  <c r="B4" i="76"/>
  <c r="AF3" i="76"/>
  <c r="AE3" i="76"/>
  <c r="AD3" i="76"/>
  <c r="AC3" i="76"/>
  <c r="AB3" i="76"/>
  <c r="Z3" i="76"/>
  <c r="Y3" i="76"/>
  <c r="X3" i="76"/>
  <c r="W3" i="76"/>
  <c r="V3" i="76"/>
  <c r="U3" i="76"/>
  <c r="S3" i="76"/>
  <c r="R3" i="76"/>
  <c r="Q3" i="76"/>
  <c r="P3" i="76"/>
  <c r="O3" i="76"/>
  <c r="N3" i="76"/>
  <c r="L3" i="76"/>
  <c r="K3" i="76"/>
  <c r="J3" i="76"/>
  <c r="I3" i="76"/>
  <c r="H3" i="76"/>
  <c r="G3" i="76"/>
  <c r="E3" i="76"/>
  <c r="D3" i="76"/>
  <c r="B3" i="76"/>
  <c r="C3" i="76"/>
  <c r="Q33" i="74" l="1"/>
  <c r="P33" i="74"/>
  <c r="O33" i="74"/>
  <c r="N33" i="74"/>
  <c r="M33" i="74"/>
  <c r="L33" i="74"/>
  <c r="K33" i="74"/>
  <c r="Q32" i="74"/>
  <c r="P32" i="74"/>
  <c r="O32" i="74"/>
  <c r="N32" i="74"/>
  <c r="M32" i="74"/>
  <c r="L32" i="74"/>
  <c r="K32" i="74"/>
  <c r="Q31" i="74"/>
  <c r="P31" i="74"/>
  <c r="O31" i="74"/>
  <c r="N31" i="74"/>
  <c r="M31" i="74"/>
  <c r="L31" i="74"/>
  <c r="K31" i="74"/>
  <c r="Q30" i="74"/>
  <c r="P30" i="74"/>
  <c r="O30" i="74"/>
  <c r="N30" i="74"/>
  <c r="M30" i="74"/>
  <c r="L30" i="74"/>
  <c r="K30" i="74"/>
  <c r="Q29" i="74"/>
  <c r="P29" i="74"/>
  <c r="O29" i="74"/>
  <c r="N29" i="74"/>
  <c r="M29" i="74"/>
  <c r="L29" i="74"/>
  <c r="K29" i="74"/>
  <c r="Q26" i="74"/>
  <c r="P26" i="74"/>
  <c r="O26" i="74"/>
  <c r="N26" i="74"/>
  <c r="M26" i="74"/>
  <c r="L26" i="74"/>
  <c r="K26" i="74"/>
  <c r="Q25" i="74"/>
  <c r="P25" i="74"/>
  <c r="O25" i="74"/>
  <c r="N25" i="74"/>
  <c r="M25" i="74"/>
  <c r="L25" i="74"/>
  <c r="K25" i="74"/>
  <c r="Q24" i="74"/>
  <c r="P24" i="74"/>
  <c r="O24" i="74"/>
  <c r="N24" i="74"/>
  <c r="M24" i="74"/>
  <c r="L24" i="74"/>
  <c r="K24" i="74"/>
  <c r="Q23" i="74"/>
  <c r="P23" i="74"/>
  <c r="O23" i="74"/>
  <c r="N23" i="74"/>
  <c r="M23" i="74"/>
  <c r="L23" i="74"/>
  <c r="K23" i="74"/>
  <c r="Q22" i="74"/>
  <c r="P22" i="74"/>
  <c r="O22" i="74"/>
  <c r="N22" i="74"/>
  <c r="M22" i="74"/>
  <c r="L22" i="74"/>
  <c r="K22" i="74"/>
  <c r="Q21" i="74"/>
  <c r="P21" i="74"/>
  <c r="O21" i="74"/>
  <c r="N21" i="74"/>
  <c r="M21" i="74"/>
  <c r="L21" i="74"/>
  <c r="K21" i="74"/>
  <c r="Q20" i="74"/>
  <c r="P20" i="74"/>
  <c r="O20" i="74"/>
  <c r="N20" i="74"/>
  <c r="M20" i="74"/>
  <c r="L20" i="74"/>
  <c r="K20" i="74"/>
  <c r="Q19" i="74"/>
  <c r="P19" i="74"/>
  <c r="O19" i="74"/>
  <c r="N19" i="74"/>
  <c r="M19" i="74"/>
  <c r="L19" i="74"/>
  <c r="K19" i="74"/>
  <c r="Q18" i="74"/>
  <c r="P18" i="74"/>
  <c r="O18" i="74"/>
  <c r="N18" i="74"/>
  <c r="M18" i="74"/>
  <c r="L18" i="74"/>
  <c r="K18" i="74"/>
  <c r="Q16" i="74"/>
  <c r="P16" i="74"/>
  <c r="O16" i="74"/>
  <c r="N16" i="74"/>
  <c r="M16" i="74"/>
  <c r="L16" i="74"/>
  <c r="K16" i="74"/>
  <c r="Q13" i="74"/>
  <c r="P13" i="74"/>
  <c r="O13" i="74"/>
  <c r="N13" i="74"/>
  <c r="M13" i="74"/>
  <c r="L13" i="74"/>
  <c r="K13" i="74"/>
  <c r="Q12" i="74"/>
  <c r="P12" i="74"/>
  <c r="O12" i="74"/>
  <c r="N12" i="74"/>
  <c r="M12" i="74"/>
  <c r="L12" i="74"/>
  <c r="K12" i="74"/>
  <c r="Q11" i="74"/>
  <c r="P11" i="74"/>
  <c r="O11" i="74"/>
  <c r="N11" i="74"/>
  <c r="M11" i="74"/>
  <c r="L11" i="74"/>
  <c r="K11" i="74"/>
  <c r="Q10" i="74"/>
  <c r="P10" i="74"/>
  <c r="O10" i="74"/>
  <c r="N10" i="74"/>
  <c r="M10" i="74"/>
  <c r="L10" i="74"/>
  <c r="K10" i="74"/>
  <c r="Q9" i="74"/>
  <c r="P9" i="74"/>
  <c r="O9" i="74"/>
  <c r="N9" i="74"/>
  <c r="M9" i="74"/>
  <c r="L9" i="74"/>
  <c r="K9" i="74"/>
  <c r="Q8" i="74"/>
  <c r="P8" i="74"/>
  <c r="O8" i="74"/>
  <c r="N8" i="74"/>
  <c r="M8" i="74"/>
  <c r="L8" i="74"/>
  <c r="K8" i="74"/>
  <c r="Q7" i="74"/>
  <c r="P7" i="74"/>
  <c r="O7" i="74"/>
  <c r="N7" i="74"/>
  <c r="M7" i="74"/>
  <c r="L7" i="74"/>
  <c r="K7" i="74"/>
  <c r="Q6" i="74"/>
  <c r="P6" i="74"/>
  <c r="O6" i="74"/>
  <c r="N6" i="74"/>
  <c r="M6" i="74"/>
  <c r="L6" i="74"/>
  <c r="K6" i="74"/>
  <c r="Q5" i="74"/>
  <c r="Q35" i="74" s="1"/>
  <c r="Q3" i="74" s="1"/>
  <c r="P5" i="74"/>
  <c r="P35" i="74" s="1"/>
  <c r="P3" i="74" s="1"/>
  <c r="O5" i="74"/>
  <c r="O35" i="74" s="1"/>
  <c r="O3" i="74" s="1"/>
  <c r="N5" i="74"/>
  <c r="N35" i="74" s="1"/>
  <c r="N3" i="74" s="1"/>
  <c r="M5" i="74"/>
  <c r="L5" i="74"/>
  <c r="L35" i="74" s="1"/>
  <c r="L3" i="74" s="1"/>
  <c r="K5" i="74"/>
  <c r="Q33" i="66"/>
  <c r="P33" i="66"/>
  <c r="O33" i="66"/>
  <c r="N33" i="66"/>
  <c r="M33" i="66"/>
  <c r="L33" i="66"/>
  <c r="K33" i="66"/>
  <c r="Q32" i="66"/>
  <c r="P32" i="66"/>
  <c r="O32" i="66"/>
  <c r="N32" i="66"/>
  <c r="M32" i="66"/>
  <c r="L32" i="66"/>
  <c r="K32" i="66"/>
  <c r="Q31" i="66"/>
  <c r="P31" i="66"/>
  <c r="O31" i="66"/>
  <c r="N31" i="66"/>
  <c r="M31" i="66"/>
  <c r="L31" i="66"/>
  <c r="K31" i="66"/>
  <c r="Q30" i="66"/>
  <c r="P30" i="66"/>
  <c r="O30" i="66"/>
  <c r="N30" i="66"/>
  <c r="M30" i="66"/>
  <c r="L30" i="66"/>
  <c r="K30" i="66"/>
  <c r="Q29" i="66"/>
  <c r="P29" i="66"/>
  <c r="O29" i="66"/>
  <c r="N29" i="66"/>
  <c r="M29" i="66"/>
  <c r="L29" i="66"/>
  <c r="K29" i="66"/>
  <c r="Q26" i="66"/>
  <c r="P26" i="66"/>
  <c r="O26" i="66"/>
  <c r="N26" i="66"/>
  <c r="M26" i="66"/>
  <c r="L26" i="66"/>
  <c r="K26" i="66"/>
  <c r="Q25" i="66"/>
  <c r="P25" i="66"/>
  <c r="O25" i="66"/>
  <c r="N25" i="66"/>
  <c r="M25" i="66"/>
  <c r="L25" i="66"/>
  <c r="K25" i="66"/>
  <c r="Q24" i="66"/>
  <c r="P24" i="66"/>
  <c r="O24" i="66"/>
  <c r="N24" i="66"/>
  <c r="M24" i="66"/>
  <c r="L24" i="66"/>
  <c r="K24" i="66"/>
  <c r="Q23" i="66"/>
  <c r="P23" i="66"/>
  <c r="O23" i="66"/>
  <c r="N23" i="66"/>
  <c r="M23" i="66"/>
  <c r="L23" i="66"/>
  <c r="K23" i="66"/>
  <c r="Q22" i="66"/>
  <c r="P22" i="66"/>
  <c r="O22" i="66"/>
  <c r="N22" i="66"/>
  <c r="M22" i="66"/>
  <c r="L22" i="66"/>
  <c r="K22" i="66"/>
  <c r="Q21" i="66"/>
  <c r="P21" i="66"/>
  <c r="O21" i="66"/>
  <c r="N21" i="66"/>
  <c r="M21" i="66"/>
  <c r="L21" i="66"/>
  <c r="K21" i="66"/>
  <c r="Q20" i="66"/>
  <c r="P20" i="66"/>
  <c r="O20" i="66"/>
  <c r="N20" i="66"/>
  <c r="M20" i="66"/>
  <c r="L20" i="66"/>
  <c r="K20" i="66"/>
  <c r="Q19" i="66"/>
  <c r="P19" i="66"/>
  <c r="O19" i="66"/>
  <c r="N19" i="66"/>
  <c r="M19" i="66"/>
  <c r="L19" i="66"/>
  <c r="K19" i="66"/>
  <c r="Q18" i="66"/>
  <c r="P18" i="66"/>
  <c r="O18" i="66"/>
  <c r="N18" i="66"/>
  <c r="M18" i="66"/>
  <c r="L18" i="66"/>
  <c r="K18" i="66"/>
  <c r="Q16" i="66"/>
  <c r="P16" i="66"/>
  <c r="O16" i="66"/>
  <c r="N16" i="66"/>
  <c r="M16" i="66"/>
  <c r="L16" i="66"/>
  <c r="K16" i="66"/>
  <c r="Q13" i="66"/>
  <c r="P13" i="66"/>
  <c r="O13" i="66"/>
  <c r="N13" i="66"/>
  <c r="M13" i="66"/>
  <c r="L13" i="66"/>
  <c r="K13" i="66"/>
  <c r="Q12" i="66"/>
  <c r="P12" i="66"/>
  <c r="O12" i="66"/>
  <c r="N12" i="66"/>
  <c r="M12" i="66"/>
  <c r="L12" i="66"/>
  <c r="K12" i="66"/>
  <c r="Q11" i="66"/>
  <c r="P11" i="66"/>
  <c r="O11" i="66"/>
  <c r="N11" i="66"/>
  <c r="M11" i="66"/>
  <c r="L11" i="66"/>
  <c r="K11" i="66"/>
  <c r="Q10" i="66"/>
  <c r="P10" i="66"/>
  <c r="O10" i="66"/>
  <c r="N10" i="66"/>
  <c r="M10" i="66"/>
  <c r="L10" i="66"/>
  <c r="K10" i="66"/>
  <c r="Q9" i="66"/>
  <c r="P9" i="66"/>
  <c r="O9" i="66"/>
  <c r="N9" i="66"/>
  <c r="M9" i="66"/>
  <c r="L9" i="66"/>
  <c r="K9" i="66"/>
  <c r="Q8" i="66"/>
  <c r="P8" i="66"/>
  <c r="O8" i="66"/>
  <c r="N8" i="66"/>
  <c r="M8" i="66"/>
  <c r="L8" i="66"/>
  <c r="K8" i="66"/>
  <c r="Q7" i="66"/>
  <c r="P7" i="66"/>
  <c r="O7" i="66"/>
  <c r="N7" i="66"/>
  <c r="M7" i="66"/>
  <c r="L7" i="66"/>
  <c r="K7" i="66"/>
  <c r="Q6" i="66"/>
  <c r="P6" i="66"/>
  <c r="O6" i="66"/>
  <c r="N6" i="66"/>
  <c r="M6" i="66"/>
  <c r="L6" i="66"/>
  <c r="K6" i="66"/>
  <c r="Q5" i="66"/>
  <c r="Q35" i="66" s="1"/>
  <c r="Q3" i="66" s="1"/>
  <c r="P5" i="66"/>
  <c r="P35" i="66" s="1"/>
  <c r="P3" i="66" s="1"/>
  <c r="O5" i="66"/>
  <c r="O35" i="66" s="1"/>
  <c r="O3" i="66" s="1"/>
  <c r="N5" i="66"/>
  <c r="M5" i="66"/>
  <c r="L5" i="66"/>
  <c r="L35" i="66" s="1"/>
  <c r="L3" i="66" s="1"/>
  <c r="K5" i="66"/>
  <c r="Q33" i="65"/>
  <c r="P33" i="65"/>
  <c r="O33" i="65"/>
  <c r="N33" i="65"/>
  <c r="M33" i="65"/>
  <c r="L33" i="65"/>
  <c r="K33" i="65"/>
  <c r="Q32" i="65"/>
  <c r="P32" i="65"/>
  <c r="O32" i="65"/>
  <c r="N32" i="65"/>
  <c r="M32" i="65"/>
  <c r="L32" i="65"/>
  <c r="K32" i="65"/>
  <c r="Q31" i="65"/>
  <c r="P31" i="65"/>
  <c r="O31" i="65"/>
  <c r="N31" i="65"/>
  <c r="M31" i="65"/>
  <c r="L31" i="65"/>
  <c r="K31" i="65"/>
  <c r="Q30" i="65"/>
  <c r="P30" i="65"/>
  <c r="O30" i="65"/>
  <c r="N30" i="65"/>
  <c r="M30" i="65"/>
  <c r="L30" i="65"/>
  <c r="K30" i="65"/>
  <c r="Q29" i="65"/>
  <c r="P29" i="65"/>
  <c r="O29" i="65"/>
  <c r="N29" i="65"/>
  <c r="M29" i="65"/>
  <c r="L29" i="65"/>
  <c r="K29" i="65"/>
  <c r="Q26" i="65"/>
  <c r="P26" i="65"/>
  <c r="O26" i="65"/>
  <c r="N26" i="65"/>
  <c r="M26" i="65"/>
  <c r="L26" i="65"/>
  <c r="K26" i="65"/>
  <c r="Q25" i="65"/>
  <c r="P25" i="65"/>
  <c r="O25" i="65"/>
  <c r="N25" i="65"/>
  <c r="M25" i="65"/>
  <c r="L25" i="65"/>
  <c r="K25" i="65"/>
  <c r="Q24" i="65"/>
  <c r="P24" i="65"/>
  <c r="O24" i="65"/>
  <c r="N24" i="65"/>
  <c r="M24" i="65"/>
  <c r="L24" i="65"/>
  <c r="K24" i="65"/>
  <c r="Q23" i="65"/>
  <c r="P23" i="65"/>
  <c r="O23" i="65"/>
  <c r="N23" i="65"/>
  <c r="M23" i="65"/>
  <c r="L23" i="65"/>
  <c r="K23" i="65"/>
  <c r="Q22" i="65"/>
  <c r="P22" i="65"/>
  <c r="O22" i="65"/>
  <c r="N22" i="65"/>
  <c r="M22" i="65"/>
  <c r="L22" i="65"/>
  <c r="K22" i="65"/>
  <c r="Q21" i="65"/>
  <c r="P21" i="65"/>
  <c r="O21" i="65"/>
  <c r="N21" i="65"/>
  <c r="M21" i="65"/>
  <c r="L21" i="65"/>
  <c r="K21" i="65"/>
  <c r="Q20" i="65"/>
  <c r="P20" i="65"/>
  <c r="O20" i="65"/>
  <c r="N20" i="65"/>
  <c r="M20" i="65"/>
  <c r="L20" i="65"/>
  <c r="K20" i="65"/>
  <c r="Q19" i="65"/>
  <c r="P19" i="65"/>
  <c r="O19" i="65"/>
  <c r="N19" i="65"/>
  <c r="M19" i="65"/>
  <c r="L19" i="65"/>
  <c r="K19" i="65"/>
  <c r="Q18" i="65"/>
  <c r="P18" i="65"/>
  <c r="O18" i="65"/>
  <c r="N18" i="65"/>
  <c r="M18" i="65"/>
  <c r="L18" i="65"/>
  <c r="K18" i="65"/>
  <c r="Q16" i="65"/>
  <c r="P16" i="65"/>
  <c r="O16" i="65"/>
  <c r="N16" i="65"/>
  <c r="M16" i="65"/>
  <c r="L16" i="65"/>
  <c r="K16" i="65"/>
  <c r="Q13" i="65"/>
  <c r="P13" i="65"/>
  <c r="O13" i="65"/>
  <c r="N13" i="65"/>
  <c r="M13" i="65"/>
  <c r="L13" i="65"/>
  <c r="K13" i="65"/>
  <c r="Q12" i="65"/>
  <c r="P12" i="65"/>
  <c r="O12" i="65"/>
  <c r="N12" i="65"/>
  <c r="M12" i="65"/>
  <c r="L12" i="65"/>
  <c r="K12" i="65"/>
  <c r="Q11" i="65"/>
  <c r="P11" i="65"/>
  <c r="O11" i="65"/>
  <c r="N11" i="65"/>
  <c r="M11" i="65"/>
  <c r="L11" i="65"/>
  <c r="K11" i="65"/>
  <c r="Q10" i="65"/>
  <c r="P10" i="65"/>
  <c r="O10" i="65"/>
  <c r="N10" i="65"/>
  <c r="M10" i="65"/>
  <c r="L10" i="65"/>
  <c r="K10" i="65"/>
  <c r="Q9" i="65"/>
  <c r="P9" i="65"/>
  <c r="O9" i="65"/>
  <c r="N9" i="65"/>
  <c r="M9" i="65"/>
  <c r="L9" i="65"/>
  <c r="K9" i="65"/>
  <c r="Q8" i="65"/>
  <c r="P8" i="65"/>
  <c r="O8" i="65"/>
  <c r="N8" i="65"/>
  <c r="M8" i="65"/>
  <c r="L8" i="65"/>
  <c r="K8" i="65"/>
  <c r="Q7" i="65"/>
  <c r="P7" i="65"/>
  <c r="O7" i="65"/>
  <c r="N7" i="65"/>
  <c r="M7" i="65"/>
  <c r="L7" i="65"/>
  <c r="K7" i="65"/>
  <c r="Q6" i="65"/>
  <c r="P6" i="65"/>
  <c r="O6" i="65"/>
  <c r="N6" i="65"/>
  <c r="M6" i="65"/>
  <c r="L6" i="65"/>
  <c r="K6" i="65"/>
  <c r="Q5" i="65"/>
  <c r="Q35" i="65" s="1"/>
  <c r="Q3" i="65" s="1"/>
  <c r="P5" i="65"/>
  <c r="P35" i="65" s="1"/>
  <c r="P3" i="65" s="1"/>
  <c r="O5" i="65"/>
  <c r="N5" i="65"/>
  <c r="M5" i="65"/>
  <c r="L5" i="65"/>
  <c r="K5" i="65"/>
  <c r="Q33" i="63"/>
  <c r="P33" i="63"/>
  <c r="O33" i="63"/>
  <c r="N33" i="63"/>
  <c r="M33" i="63"/>
  <c r="L33" i="63"/>
  <c r="K33" i="63"/>
  <c r="Q32" i="63"/>
  <c r="P32" i="63"/>
  <c r="O32" i="63"/>
  <c r="N32" i="63"/>
  <c r="M32" i="63"/>
  <c r="L32" i="63"/>
  <c r="K32" i="63"/>
  <c r="Q31" i="63"/>
  <c r="P31" i="63"/>
  <c r="O31" i="63"/>
  <c r="N31" i="63"/>
  <c r="M31" i="63"/>
  <c r="L31" i="63"/>
  <c r="K31" i="63"/>
  <c r="Q30" i="63"/>
  <c r="P30" i="63"/>
  <c r="O30" i="63"/>
  <c r="N30" i="63"/>
  <c r="M30" i="63"/>
  <c r="L30" i="63"/>
  <c r="K30" i="63"/>
  <c r="Q29" i="63"/>
  <c r="P29" i="63"/>
  <c r="O29" i="63"/>
  <c r="N29" i="63"/>
  <c r="M29" i="63"/>
  <c r="L29" i="63"/>
  <c r="K29" i="63"/>
  <c r="Q26" i="63"/>
  <c r="P26" i="63"/>
  <c r="O26" i="63"/>
  <c r="N26" i="63"/>
  <c r="M26" i="63"/>
  <c r="L26" i="63"/>
  <c r="K26" i="63"/>
  <c r="Q25" i="63"/>
  <c r="P25" i="63"/>
  <c r="O25" i="63"/>
  <c r="N25" i="63"/>
  <c r="M25" i="63"/>
  <c r="L25" i="63"/>
  <c r="K25" i="63"/>
  <c r="Q24" i="63"/>
  <c r="P24" i="63"/>
  <c r="O24" i="63"/>
  <c r="N24" i="63"/>
  <c r="M24" i="63"/>
  <c r="L24" i="63"/>
  <c r="K24" i="63"/>
  <c r="Q23" i="63"/>
  <c r="P23" i="63"/>
  <c r="O23" i="63"/>
  <c r="N23" i="63"/>
  <c r="M23" i="63"/>
  <c r="L23" i="63"/>
  <c r="K23" i="63"/>
  <c r="Q22" i="63"/>
  <c r="P22" i="63"/>
  <c r="O22" i="63"/>
  <c r="N22" i="63"/>
  <c r="M22" i="63"/>
  <c r="L22" i="63"/>
  <c r="K22" i="63"/>
  <c r="Q21" i="63"/>
  <c r="P21" i="63"/>
  <c r="O21" i="63"/>
  <c r="N21" i="63"/>
  <c r="M21" i="63"/>
  <c r="L21" i="63"/>
  <c r="K21" i="63"/>
  <c r="Q20" i="63"/>
  <c r="P20" i="63"/>
  <c r="O20" i="63"/>
  <c r="N20" i="63"/>
  <c r="M20" i="63"/>
  <c r="L20" i="63"/>
  <c r="K20" i="63"/>
  <c r="Q19" i="63"/>
  <c r="P19" i="63"/>
  <c r="O19" i="63"/>
  <c r="N19" i="63"/>
  <c r="M19" i="63"/>
  <c r="L19" i="63"/>
  <c r="K19" i="63"/>
  <c r="Q18" i="63"/>
  <c r="P18" i="63"/>
  <c r="O18" i="63"/>
  <c r="N18" i="63"/>
  <c r="M18" i="63"/>
  <c r="L18" i="63"/>
  <c r="K18" i="63"/>
  <c r="Q16" i="63"/>
  <c r="P16" i="63"/>
  <c r="O16" i="63"/>
  <c r="N16" i="63"/>
  <c r="M16" i="63"/>
  <c r="L16" i="63"/>
  <c r="K16" i="63"/>
  <c r="Q13" i="63"/>
  <c r="P13" i="63"/>
  <c r="O13" i="63"/>
  <c r="N13" i="63"/>
  <c r="M13" i="63"/>
  <c r="L13" i="63"/>
  <c r="K13" i="63"/>
  <c r="Q12" i="63"/>
  <c r="P12" i="63"/>
  <c r="O12" i="63"/>
  <c r="N12" i="63"/>
  <c r="M12" i="63"/>
  <c r="L12" i="63"/>
  <c r="K12" i="63"/>
  <c r="Q11" i="63"/>
  <c r="P11" i="63"/>
  <c r="O11" i="63"/>
  <c r="N11" i="63"/>
  <c r="M11" i="63"/>
  <c r="L11" i="63"/>
  <c r="K11" i="63"/>
  <c r="Q10" i="63"/>
  <c r="P10" i="63"/>
  <c r="O10" i="63"/>
  <c r="N10" i="63"/>
  <c r="M10" i="63"/>
  <c r="L10" i="63"/>
  <c r="K10" i="63"/>
  <c r="Q9" i="63"/>
  <c r="P9" i="63"/>
  <c r="O9" i="63"/>
  <c r="N9" i="63"/>
  <c r="M9" i="63"/>
  <c r="L9" i="63"/>
  <c r="K9" i="63"/>
  <c r="Q8" i="63"/>
  <c r="P8" i="63"/>
  <c r="O8" i="63"/>
  <c r="N8" i="63"/>
  <c r="M8" i="63"/>
  <c r="L8" i="63"/>
  <c r="K8" i="63"/>
  <c r="Q7" i="63"/>
  <c r="P7" i="63"/>
  <c r="O7" i="63"/>
  <c r="N7" i="63"/>
  <c r="M7" i="63"/>
  <c r="L7" i="63"/>
  <c r="K7" i="63"/>
  <c r="Q6" i="63"/>
  <c r="P6" i="63"/>
  <c r="O6" i="63"/>
  <c r="N6" i="63"/>
  <c r="M6" i="63"/>
  <c r="L6" i="63"/>
  <c r="K6" i="63"/>
  <c r="Q5" i="63"/>
  <c r="Q35" i="63" s="1"/>
  <c r="Q3" i="63" s="1"/>
  <c r="P5" i="63"/>
  <c r="P35" i="63" s="1"/>
  <c r="P3" i="63" s="1"/>
  <c r="O5" i="63"/>
  <c r="N5" i="63"/>
  <c r="N35" i="63" s="1"/>
  <c r="N3" i="63" s="1"/>
  <c r="M5" i="63"/>
  <c r="L5" i="63"/>
  <c r="K5" i="63"/>
  <c r="Q33" i="62"/>
  <c r="P33" i="62"/>
  <c r="O33" i="62"/>
  <c r="N33" i="62"/>
  <c r="M33" i="62"/>
  <c r="L33" i="62"/>
  <c r="K33" i="62"/>
  <c r="Q32" i="62"/>
  <c r="P32" i="62"/>
  <c r="O32" i="62"/>
  <c r="N32" i="62"/>
  <c r="M32" i="62"/>
  <c r="L32" i="62"/>
  <c r="K32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Q23" i="62"/>
  <c r="P23" i="62"/>
  <c r="O23" i="62"/>
  <c r="N23" i="62"/>
  <c r="M23" i="62"/>
  <c r="L23" i="62"/>
  <c r="K23" i="62"/>
  <c r="Q22" i="62"/>
  <c r="P22" i="62"/>
  <c r="O22" i="62"/>
  <c r="N22" i="62"/>
  <c r="M22" i="62"/>
  <c r="L22" i="62"/>
  <c r="K22" i="62"/>
  <c r="Q21" i="62"/>
  <c r="P21" i="62"/>
  <c r="O21" i="62"/>
  <c r="N21" i="62"/>
  <c r="M21" i="62"/>
  <c r="L21" i="62"/>
  <c r="K21" i="62"/>
  <c r="Q20" i="62"/>
  <c r="P20" i="62"/>
  <c r="O20" i="62"/>
  <c r="N20" i="62"/>
  <c r="M20" i="62"/>
  <c r="L20" i="62"/>
  <c r="K20" i="62"/>
  <c r="Q19" i="62"/>
  <c r="P19" i="62"/>
  <c r="O19" i="62"/>
  <c r="N19" i="62"/>
  <c r="M19" i="62"/>
  <c r="L19" i="62"/>
  <c r="K19" i="62"/>
  <c r="Q18" i="62"/>
  <c r="P18" i="62"/>
  <c r="O18" i="62"/>
  <c r="N18" i="62"/>
  <c r="M18" i="62"/>
  <c r="L18" i="62"/>
  <c r="K18" i="62"/>
  <c r="Q16" i="62"/>
  <c r="P16" i="62"/>
  <c r="O16" i="62"/>
  <c r="N16" i="62"/>
  <c r="M16" i="62"/>
  <c r="L16" i="62"/>
  <c r="K16" i="62"/>
  <c r="Q13" i="62"/>
  <c r="P13" i="62"/>
  <c r="O13" i="62"/>
  <c r="N13" i="62"/>
  <c r="M13" i="62"/>
  <c r="L13" i="62"/>
  <c r="K13" i="62"/>
  <c r="Q12" i="62"/>
  <c r="P12" i="62"/>
  <c r="O12" i="62"/>
  <c r="N12" i="62"/>
  <c r="M12" i="62"/>
  <c r="L12" i="62"/>
  <c r="K12" i="62"/>
  <c r="Q11" i="62"/>
  <c r="P11" i="62"/>
  <c r="O11" i="62"/>
  <c r="N11" i="62"/>
  <c r="M11" i="62"/>
  <c r="L11" i="62"/>
  <c r="K11" i="62"/>
  <c r="Q10" i="62"/>
  <c r="P10" i="62"/>
  <c r="O10" i="62"/>
  <c r="N10" i="62"/>
  <c r="M10" i="62"/>
  <c r="L10" i="62"/>
  <c r="K10" i="62"/>
  <c r="Q9" i="62"/>
  <c r="P9" i="62"/>
  <c r="O9" i="62"/>
  <c r="N9" i="62"/>
  <c r="M9" i="62"/>
  <c r="L9" i="62"/>
  <c r="K9" i="62"/>
  <c r="Q8" i="62"/>
  <c r="P8" i="62"/>
  <c r="O8" i="62"/>
  <c r="N8" i="62"/>
  <c r="M8" i="62"/>
  <c r="L8" i="62"/>
  <c r="K8" i="62"/>
  <c r="Q7" i="62"/>
  <c r="P7" i="62"/>
  <c r="O7" i="62"/>
  <c r="N7" i="62"/>
  <c r="M7" i="62"/>
  <c r="L7" i="62"/>
  <c r="K7" i="62"/>
  <c r="Q6" i="62"/>
  <c r="P6" i="62"/>
  <c r="O6" i="62"/>
  <c r="N6" i="62"/>
  <c r="M6" i="62"/>
  <c r="L6" i="62"/>
  <c r="K6" i="62"/>
  <c r="Q5" i="62"/>
  <c r="Q35" i="62" s="1"/>
  <c r="Q3" i="62" s="1"/>
  <c r="P5" i="62"/>
  <c r="P35" i="62" s="1"/>
  <c r="P3" i="62" s="1"/>
  <c r="O5" i="62"/>
  <c r="O35" i="62" s="1"/>
  <c r="O3" i="62" s="1"/>
  <c r="N5" i="62"/>
  <c r="N35" i="62" s="1"/>
  <c r="N3" i="62" s="1"/>
  <c r="M5" i="62"/>
  <c r="L5" i="62"/>
  <c r="L35" i="62" s="1"/>
  <c r="L3" i="62" s="1"/>
  <c r="K5" i="62"/>
  <c r="Q33" i="61"/>
  <c r="P33" i="61"/>
  <c r="O33" i="61"/>
  <c r="N33" i="61"/>
  <c r="M33" i="61"/>
  <c r="L33" i="61"/>
  <c r="K33" i="61"/>
  <c r="Q32" i="61"/>
  <c r="P32" i="61"/>
  <c r="O32" i="61"/>
  <c r="N32" i="61"/>
  <c r="M32" i="61"/>
  <c r="L32" i="61"/>
  <c r="K32" i="61"/>
  <c r="Q31" i="61"/>
  <c r="P31" i="61"/>
  <c r="O31" i="61"/>
  <c r="N31" i="61"/>
  <c r="M31" i="61"/>
  <c r="L31" i="61"/>
  <c r="K31" i="61"/>
  <c r="Q30" i="61"/>
  <c r="P30" i="61"/>
  <c r="O30" i="61"/>
  <c r="N30" i="61"/>
  <c r="M30" i="61"/>
  <c r="L30" i="61"/>
  <c r="K30" i="61"/>
  <c r="Q29" i="61"/>
  <c r="P29" i="61"/>
  <c r="O29" i="61"/>
  <c r="N29" i="61"/>
  <c r="M29" i="61"/>
  <c r="L29" i="61"/>
  <c r="K29" i="61"/>
  <c r="Q26" i="61"/>
  <c r="P26" i="61"/>
  <c r="O26" i="61"/>
  <c r="N26" i="61"/>
  <c r="M26" i="61"/>
  <c r="L26" i="61"/>
  <c r="K26" i="61"/>
  <c r="Q25" i="61"/>
  <c r="P25" i="61"/>
  <c r="O25" i="61"/>
  <c r="N25" i="61"/>
  <c r="M25" i="61"/>
  <c r="L25" i="61"/>
  <c r="K25" i="61"/>
  <c r="Q24" i="61"/>
  <c r="P24" i="61"/>
  <c r="O24" i="61"/>
  <c r="N24" i="61"/>
  <c r="M24" i="61"/>
  <c r="L24" i="61"/>
  <c r="K24" i="61"/>
  <c r="Q23" i="61"/>
  <c r="P23" i="61"/>
  <c r="O23" i="61"/>
  <c r="N23" i="61"/>
  <c r="M23" i="61"/>
  <c r="L23" i="61"/>
  <c r="K23" i="61"/>
  <c r="Q22" i="61"/>
  <c r="P22" i="61"/>
  <c r="O22" i="61"/>
  <c r="N22" i="61"/>
  <c r="M22" i="61"/>
  <c r="L22" i="61"/>
  <c r="K22" i="61"/>
  <c r="Q21" i="61"/>
  <c r="P21" i="61"/>
  <c r="O21" i="61"/>
  <c r="N21" i="61"/>
  <c r="M21" i="61"/>
  <c r="L21" i="61"/>
  <c r="K21" i="61"/>
  <c r="Q20" i="61"/>
  <c r="P20" i="61"/>
  <c r="O20" i="61"/>
  <c r="N20" i="61"/>
  <c r="M20" i="61"/>
  <c r="L20" i="61"/>
  <c r="K20" i="61"/>
  <c r="Q19" i="61"/>
  <c r="P19" i="61"/>
  <c r="O19" i="61"/>
  <c r="N19" i="61"/>
  <c r="M19" i="61"/>
  <c r="L19" i="61"/>
  <c r="K19" i="61"/>
  <c r="Q18" i="61"/>
  <c r="P18" i="61"/>
  <c r="O18" i="61"/>
  <c r="N18" i="61"/>
  <c r="M18" i="61"/>
  <c r="L18" i="61"/>
  <c r="K18" i="61"/>
  <c r="Q16" i="61"/>
  <c r="P16" i="61"/>
  <c r="O16" i="61"/>
  <c r="N16" i="61"/>
  <c r="M16" i="61"/>
  <c r="L16" i="61"/>
  <c r="K16" i="61"/>
  <c r="Q13" i="61"/>
  <c r="P13" i="61"/>
  <c r="O13" i="61"/>
  <c r="N13" i="61"/>
  <c r="M13" i="61"/>
  <c r="L13" i="61"/>
  <c r="K13" i="61"/>
  <c r="Q12" i="61"/>
  <c r="P12" i="61"/>
  <c r="O12" i="61"/>
  <c r="N12" i="61"/>
  <c r="M12" i="61"/>
  <c r="L12" i="61"/>
  <c r="K12" i="61"/>
  <c r="Q11" i="61"/>
  <c r="P11" i="61"/>
  <c r="O11" i="61"/>
  <c r="N11" i="61"/>
  <c r="M11" i="61"/>
  <c r="L11" i="61"/>
  <c r="K11" i="61"/>
  <c r="Q10" i="61"/>
  <c r="P10" i="61"/>
  <c r="O10" i="61"/>
  <c r="N10" i="61"/>
  <c r="M10" i="61"/>
  <c r="L10" i="61"/>
  <c r="K10" i="61"/>
  <c r="Q9" i="61"/>
  <c r="P9" i="61"/>
  <c r="O9" i="61"/>
  <c r="N9" i="61"/>
  <c r="M9" i="61"/>
  <c r="L9" i="61"/>
  <c r="K9" i="61"/>
  <c r="Q8" i="61"/>
  <c r="P8" i="61"/>
  <c r="O8" i="61"/>
  <c r="N8" i="61"/>
  <c r="M8" i="61"/>
  <c r="L8" i="61"/>
  <c r="K8" i="61"/>
  <c r="Q7" i="61"/>
  <c r="P7" i="61"/>
  <c r="O7" i="61"/>
  <c r="N7" i="61"/>
  <c r="M7" i="61"/>
  <c r="L7" i="61"/>
  <c r="K7" i="61"/>
  <c r="Q6" i="61"/>
  <c r="P6" i="61"/>
  <c r="O6" i="61"/>
  <c r="N6" i="61"/>
  <c r="M6" i="61"/>
  <c r="L6" i="61"/>
  <c r="K6" i="61"/>
  <c r="Q5" i="61"/>
  <c r="Q35" i="61" s="1"/>
  <c r="Q3" i="61" s="1"/>
  <c r="P5" i="61"/>
  <c r="P35" i="61" s="1"/>
  <c r="P3" i="61" s="1"/>
  <c r="O5" i="61"/>
  <c r="O35" i="61" s="1"/>
  <c r="O3" i="61" s="1"/>
  <c r="N5" i="61"/>
  <c r="N35" i="61" s="1"/>
  <c r="N3" i="61" s="1"/>
  <c r="M5" i="61"/>
  <c r="L5" i="61"/>
  <c r="L35" i="61" s="1"/>
  <c r="L3" i="61" s="1"/>
  <c r="K5" i="61"/>
  <c r="Q33" i="60"/>
  <c r="P33" i="60"/>
  <c r="O33" i="60"/>
  <c r="N33" i="60"/>
  <c r="M33" i="60"/>
  <c r="L33" i="60"/>
  <c r="K33" i="60"/>
  <c r="Q32" i="60"/>
  <c r="P32" i="60"/>
  <c r="O32" i="60"/>
  <c r="N32" i="60"/>
  <c r="M32" i="60"/>
  <c r="L32" i="60"/>
  <c r="K32" i="60"/>
  <c r="Q31" i="60"/>
  <c r="P31" i="60"/>
  <c r="O31" i="60"/>
  <c r="N31" i="60"/>
  <c r="M31" i="60"/>
  <c r="L31" i="60"/>
  <c r="K31" i="60"/>
  <c r="Q30" i="60"/>
  <c r="P30" i="60"/>
  <c r="O30" i="60"/>
  <c r="N30" i="60"/>
  <c r="M30" i="60"/>
  <c r="L30" i="60"/>
  <c r="K30" i="60"/>
  <c r="Q29" i="60"/>
  <c r="P29" i="60"/>
  <c r="O29" i="60"/>
  <c r="N29" i="60"/>
  <c r="M29" i="60"/>
  <c r="L29" i="60"/>
  <c r="K29" i="60"/>
  <c r="Q26" i="60"/>
  <c r="P26" i="60"/>
  <c r="O26" i="60"/>
  <c r="N26" i="60"/>
  <c r="M26" i="60"/>
  <c r="L26" i="60"/>
  <c r="K26" i="60"/>
  <c r="Q25" i="60"/>
  <c r="P25" i="60"/>
  <c r="O25" i="60"/>
  <c r="N25" i="60"/>
  <c r="M25" i="60"/>
  <c r="L25" i="60"/>
  <c r="K25" i="60"/>
  <c r="Q24" i="60"/>
  <c r="P24" i="60"/>
  <c r="O24" i="60"/>
  <c r="N24" i="60"/>
  <c r="M24" i="60"/>
  <c r="L24" i="60"/>
  <c r="K24" i="60"/>
  <c r="Q23" i="60"/>
  <c r="P23" i="60"/>
  <c r="O23" i="60"/>
  <c r="N23" i="60"/>
  <c r="M23" i="60"/>
  <c r="L23" i="60"/>
  <c r="K23" i="60"/>
  <c r="Q22" i="60"/>
  <c r="P22" i="60"/>
  <c r="O22" i="60"/>
  <c r="N22" i="60"/>
  <c r="M22" i="60"/>
  <c r="L22" i="60"/>
  <c r="K22" i="60"/>
  <c r="Q21" i="60"/>
  <c r="P21" i="60"/>
  <c r="O21" i="60"/>
  <c r="N21" i="60"/>
  <c r="M21" i="60"/>
  <c r="L21" i="60"/>
  <c r="K21" i="60"/>
  <c r="Q20" i="60"/>
  <c r="P20" i="60"/>
  <c r="O20" i="60"/>
  <c r="N20" i="60"/>
  <c r="M20" i="60"/>
  <c r="L20" i="60"/>
  <c r="K20" i="60"/>
  <c r="Q19" i="60"/>
  <c r="P19" i="60"/>
  <c r="O19" i="60"/>
  <c r="N19" i="60"/>
  <c r="M19" i="60"/>
  <c r="L19" i="60"/>
  <c r="K19" i="60"/>
  <c r="Q18" i="60"/>
  <c r="P18" i="60"/>
  <c r="O18" i="60"/>
  <c r="N18" i="60"/>
  <c r="M18" i="60"/>
  <c r="L18" i="60"/>
  <c r="K18" i="60"/>
  <c r="Q16" i="60"/>
  <c r="P16" i="60"/>
  <c r="O16" i="60"/>
  <c r="N16" i="60"/>
  <c r="M16" i="60"/>
  <c r="L16" i="60"/>
  <c r="K16" i="60"/>
  <c r="Q13" i="60"/>
  <c r="P13" i="60"/>
  <c r="O13" i="60"/>
  <c r="N13" i="60"/>
  <c r="M13" i="60"/>
  <c r="L13" i="60"/>
  <c r="K13" i="60"/>
  <c r="Q12" i="60"/>
  <c r="P12" i="60"/>
  <c r="O12" i="60"/>
  <c r="N12" i="60"/>
  <c r="M12" i="60"/>
  <c r="L12" i="60"/>
  <c r="K12" i="60"/>
  <c r="Q11" i="60"/>
  <c r="P11" i="60"/>
  <c r="O11" i="60"/>
  <c r="N11" i="60"/>
  <c r="M11" i="60"/>
  <c r="L11" i="60"/>
  <c r="K11" i="60"/>
  <c r="Q10" i="60"/>
  <c r="P10" i="60"/>
  <c r="O10" i="60"/>
  <c r="N10" i="60"/>
  <c r="M10" i="60"/>
  <c r="L10" i="60"/>
  <c r="K10" i="60"/>
  <c r="Q9" i="60"/>
  <c r="P9" i="60"/>
  <c r="O9" i="60"/>
  <c r="N9" i="60"/>
  <c r="M9" i="60"/>
  <c r="L9" i="60"/>
  <c r="K9" i="60"/>
  <c r="Q8" i="60"/>
  <c r="P8" i="60"/>
  <c r="O8" i="60"/>
  <c r="N8" i="60"/>
  <c r="M8" i="60"/>
  <c r="L8" i="60"/>
  <c r="K8" i="60"/>
  <c r="Q7" i="60"/>
  <c r="P7" i="60"/>
  <c r="O7" i="60"/>
  <c r="N7" i="60"/>
  <c r="M7" i="60"/>
  <c r="L7" i="60"/>
  <c r="K7" i="60"/>
  <c r="Q6" i="60"/>
  <c r="P6" i="60"/>
  <c r="O6" i="60"/>
  <c r="N6" i="60"/>
  <c r="M6" i="60"/>
  <c r="L6" i="60"/>
  <c r="K6" i="60"/>
  <c r="Q5" i="60"/>
  <c r="Q35" i="60" s="1"/>
  <c r="Q3" i="60" s="1"/>
  <c r="P5" i="60"/>
  <c r="P35" i="60" s="1"/>
  <c r="P3" i="60" s="1"/>
  <c r="O5" i="60"/>
  <c r="N5" i="60"/>
  <c r="M5" i="60"/>
  <c r="L5" i="60"/>
  <c r="K5" i="60"/>
  <c r="Q33" i="59"/>
  <c r="P33" i="59"/>
  <c r="O33" i="59"/>
  <c r="N33" i="59"/>
  <c r="M33" i="59"/>
  <c r="L33" i="59"/>
  <c r="K33" i="59"/>
  <c r="Q32" i="59"/>
  <c r="P32" i="59"/>
  <c r="O32" i="59"/>
  <c r="N32" i="59"/>
  <c r="M32" i="59"/>
  <c r="L32" i="59"/>
  <c r="K32" i="59"/>
  <c r="Q31" i="59"/>
  <c r="P31" i="59"/>
  <c r="O31" i="59"/>
  <c r="N31" i="59"/>
  <c r="M31" i="59"/>
  <c r="L31" i="59"/>
  <c r="K31" i="59"/>
  <c r="Q30" i="59"/>
  <c r="P30" i="59"/>
  <c r="O30" i="59"/>
  <c r="N30" i="59"/>
  <c r="M30" i="59"/>
  <c r="L30" i="59"/>
  <c r="K30" i="59"/>
  <c r="Q29" i="59"/>
  <c r="P29" i="59"/>
  <c r="O29" i="59"/>
  <c r="N29" i="59"/>
  <c r="M29" i="59"/>
  <c r="L29" i="59"/>
  <c r="K29" i="59"/>
  <c r="Q26" i="59"/>
  <c r="P26" i="59"/>
  <c r="O26" i="59"/>
  <c r="N26" i="59"/>
  <c r="M26" i="59"/>
  <c r="L26" i="59"/>
  <c r="K26" i="59"/>
  <c r="Q25" i="59"/>
  <c r="P25" i="59"/>
  <c r="O25" i="59"/>
  <c r="N25" i="59"/>
  <c r="M25" i="59"/>
  <c r="L25" i="59"/>
  <c r="K25" i="59"/>
  <c r="Q24" i="59"/>
  <c r="P24" i="59"/>
  <c r="O24" i="59"/>
  <c r="N24" i="59"/>
  <c r="M24" i="59"/>
  <c r="L24" i="59"/>
  <c r="K24" i="59"/>
  <c r="Q23" i="59"/>
  <c r="P23" i="59"/>
  <c r="O23" i="59"/>
  <c r="N23" i="59"/>
  <c r="M23" i="59"/>
  <c r="L23" i="59"/>
  <c r="K23" i="59"/>
  <c r="Q22" i="59"/>
  <c r="P22" i="59"/>
  <c r="O22" i="59"/>
  <c r="N22" i="59"/>
  <c r="M22" i="59"/>
  <c r="L22" i="59"/>
  <c r="K22" i="59"/>
  <c r="Q21" i="59"/>
  <c r="P21" i="59"/>
  <c r="O21" i="59"/>
  <c r="N21" i="59"/>
  <c r="M21" i="59"/>
  <c r="L21" i="59"/>
  <c r="K21" i="59"/>
  <c r="Q20" i="59"/>
  <c r="P20" i="59"/>
  <c r="O20" i="59"/>
  <c r="N20" i="59"/>
  <c r="M20" i="59"/>
  <c r="L20" i="59"/>
  <c r="K20" i="59"/>
  <c r="Q19" i="59"/>
  <c r="P19" i="59"/>
  <c r="O19" i="59"/>
  <c r="N19" i="59"/>
  <c r="M19" i="59"/>
  <c r="L19" i="59"/>
  <c r="K19" i="59"/>
  <c r="Q18" i="59"/>
  <c r="P18" i="59"/>
  <c r="O18" i="59"/>
  <c r="N18" i="59"/>
  <c r="M18" i="59"/>
  <c r="L18" i="59"/>
  <c r="K18" i="59"/>
  <c r="Q16" i="59"/>
  <c r="P16" i="59"/>
  <c r="O16" i="59"/>
  <c r="N16" i="59"/>
  <c r="M16" i="59"/>
  <c r="L16" i="59"/>
  <c r="K16" i="59"/>
  <c r="Q13" i="59"/>
  <c r="P13" i="59"/>
  <c r="O13" i="59"/>
  <c r="N13" i="59"/>
  <c r="M13" i="59"/>
  <c r="L13" i="59"/>
  <c r="K13" i="59"/>
  <c r="Q12" i="59"/>
  <c r="P12" i="59"/>
  <c r="O12" i="59"/>
  <c r="N12" i="59"/>
  <c r="M12" i="59"/>
  <c r="L12" i="59"/>
  <c r="K12" i="59"/>
  <c r="Q11" i="59"/>
  <c r="P11" i="59"/>
  <c r="O11" i="59"/>
  <c r="N11" i="59"/>
  <c r="M11" i="59"/>
  <c r="L11" i="59"/>
  <c r="K11" i="59"/>
  <c r="Q10" i="59"/>
  <c r="P10" i="59"/>
  <c r="O10" i="59"/>
  <c r="N10" i="59"/>
  <c r="M10" i="59"/>
  <c r="L10" i="59"/>
  <c r="K10" i="59"/>
  <c r="Q9" i="59"/>
  <c r="P9" i="59"/>
  <c r="O9" i="59"/>
  <c r="N9" i="59"/>
  <c r="M9" i="59"/>
  <c r="L9" i="59"/>
  <c r="K9" i="59"/>
  <c r="Q8" i="59"/>
  <c r="P8" i="59"/>
  <c r="O8" i="59"/>
  <c r="N8" i="59"/>
  <c r="M8" i="59"/>
  <c r="L8" i="59"/>
  <c r="K8" i="59"/>
  <c r="Q7" i="59"/>
  <c r="P7" i="59"/>
  <c r="O7" i="59"/>
  <c r="N7" i="59"/>
  <c r="M7" i="59"/>
  <c r="L7" i="59"/>
  <c r="K7" i="59"/>
  <c r="Q6" i="59"/>
  <c r="P6" i="59"/>
  <c r="O6" i="59"/>
  <c r="N6" i="59"/>
  <c r="M6" i="59"/>
  <c r="L6" i="59"/>
  <c r="K6" i="59"/>
  <c r="Q5" i="59"/>
  <c r="Q35" i="59" s="1"/>
  <c r="Q3" i="59" s="1"/>
  <c r="P5" i="59"/>
  <c r="O5" i="59"/>
  <c r="N5" i="59"/>
  <c r="N35" i="59" s="1"/>
  <c r="N3" i="59" s="1"/>
  <c r="M5" i="59"/>
  <c r="M35" i="59" s="1"/>
  <c r="M3" i="59" s="1"/>
  <c r="L5" i="59"/>
  <c r="K5" i="59"/>
  <c r="Q33" i="58"/>
  <c r="P33" i="58"/>
  <c r="O33" i="58"/>
  <c r="N33" i="58"/>
  <c r="M33" i="58"/>
  <c r="L33" i="58"/>
  <c r="K33" i="58"/>
  <c r="Q32" i="58"/>
  <c r="P32" i="58"/>
  <c r="O32" i="58"/>
  <c r="N32" i="58"/>
  <c r="M32" i="58"/>
  <c r="L32" i="58"/>
  <c r="K32" i="58"/>
  <c r="Q31" i="58"/>
  <c r="P31" i="58"/>
  <c r="O31" i="58"/>
  <c r="N31" i="58"/>
  <c r="M31" i="58"/>
  <c r="L31" i="58"/>
  <c r="K31" i="58"/>
  <c r="Q30" i="58"/>
  <c r="P30" i="58"/>
  <c r="O30" i="58"/>
  <c r="N30" i="58"/>
  <c r="M30" i="58"/>
  <c r="L30" i="58"/>
  <c r="K30" i="58"/>
  <c r="Q29" i="58"/>
  <c r="P29" i="58"/>
  <c r="O29" i="58"/>
  <c r="N29" i="58"/>
  <c r="M29" i="58"/>
  <c r="L29" i="58"/>
  <c r="K29" i="58"/>
  <c r="Q26" i="58"/>
  <c r="P26" i="58"/>
  <c r="O26" i="58"/>
  <c r="N26" i="58"/>
  <c r="M26" i="58"/>
  <c r="L26" i="58"/>
  <c r="K26" i="58"/>
  <c r="Q25" i="58"/>
  <c r="P25" i="58"/>
  <c r="O25" i="58"/>
  <c r="N25" i="58"/>
  <c r="M25" i="58"/>
  <c r="L25" i="58"/>
  <c r="K25" i="58"/>
  <c r="Q24" i="58"/>
  <c r="P24" i="58"/>
  <c r="O24" i="58"/>
  <c r="N24" i="58"/>
  <c r="M24" i="58"/>
  <c r="L24" i="58"/>
  <c r="K24" i="58"/>
  <c r="Q23" i="58"/>
  <c r="P23" i="58"/>
  <c r="O23" i="58"/>
  <c r="N23" i="58"/>
  <c r="M23" i="58"/>
  <c r="L23" i="58"/>
  <c r="K23" i="58"/>
  <c r="Q22" i="58"/>
  <c r="P22" i="58"/>
  <c r="O22" i="58"/>
  <c r="N22" i="58"/>
  <c r="M22" i="58"/>
  <c r="L22" i="58"/>
  <c r="K22" i="58"/>
  <c r="Q21" i="58"/>
  <c r="P21" i="58"/>
  <c r="O21" i="58"/>
  <c r="N21" i="58"/>
  <c r="M21" i="58"/>
  <c r="L21" i="58"/>
  <c r="K21" i="58"/>
  <c r="Q20" i="58"/>
  <c r="P20" i="58"/>
  <c r="O20" i="58"/>
  <c r="N20" i="58"/>
  <c r="M20" i="58"/>
  <c r="L20" i="58"/>
  <c r="K20" i="58"/>
  <c r="Q19" i="58"/>
  <c r="P19" i="58"/>
  <c r="O19" i="58"/>
  <c r="N19" i="58"/>
  <c r="M19" i="58"/>
  <c r="L19" i="58"/>
  <c r="K19" i="58"/>
  <c r="Q18" i="58"/>
  <c r="P18" i="58"/>
  <c r="O18" i="58"/>
  <c r="N18" i="58"/>
  <c r="M18" i="58"/>
  <c r="L18" i="58"/>
  <c r="K18" i="58"/>
  <c r="Q16" i="58"/>
  <c r="P16" i="58"/>
  <c r="O16" i="58"/>
  <c r="N16" i="58"/>
  <c r="M16" i="58"/>
  <c r="L16" i="58"/>
  <c r="K16" i="58"/>
  <c r="Q13" i="58"/>
  <c r="P13" i="58"/>
  <c r="O13" i="58"/>
  <c r="N13" i="58"/>
  <c r="M13" i="58"/>
  <c r="L13" i="58"/>
  <c r="K13" i="58"/>
  <c r="Q12" i="58"/>
  <c r="P12" i="58"/>
  <c r="O12" i="58"/>
  <c r="N12" i="58"/>
  <c r="M12" i="58"/>
  <c r="L12" i="58"/>
  <c r="K12" i="58"/>
  <c r="Q11" i="58"/>
  <c r="P11" i="58"/>
  <c r="O11" i="58"/>
  <c r="N11" i="58"/>
  <c r="M11" i="58"/>
  <c r="L11" i="58"/>
  <c r="K11" i="58"/>
  <c r="Q10" i="58"/>
  <c r="P10" i="58"/>
  <c r="O10" i="58"/>
  <c r="N10" i="58"/>
  <c r="M10" i="58"/>
  <c r="L10" i="58"/>
  <c r="K10" i="58"/>
  <c r="Q9" i="58"/>
  <c r="P9" i="58"/>
  <c r="O9" i="58"/>
  <c r="N9" i="58"/>
  <c r="M9" i="58"/>
  <c r="L9" i="58"/>
  <c r="K9" i="58"/>
  <c r="Q8" i="58"/>
  <c r="P8" i="58"/>
  <c r="O8" i="58"/>
  <c r="N8" i="58"/>
  <c r="M8" i="58"/>
  <c r="L8" i="58"/>
  <c r="K8" i="58"/>
  <c r="Q7" i="58"/>
  <c r="P7" i="58"/>
  <c r="O7" i="58"/>
  <c r="N7" i="58"/>
  <c r="M7" i="58"/>
  <c r="L7" i="58"/>
  <c r="K7" i="58"/>
  <c r="Q6" i="58"/>
  <c r="P6" i="58"/>
  <c r="O6" i="58"/>
  <c r="N6" i="58"/>
  <c r="M6" i="58"/>
  <c r="L6" i="58"/>
  <c r="K6" i="58"/>
  <c r="Q5" i="58"/>
  <c r="Q35" i="58" s="1"/>
  <c r="Q3" i="58" s="1"/>
  <c r="P5" i="58"/>
  <c r="P35" i="58" s="1"/>
  <c r="P3" i="58" s="1"/>
  <c r="O5" i="58"/>
  <c r="N5" i="58"/>
  <c r="N35" i="58" s="1"/>
  <c r="N3" i="58" s="1"/>
  <c r="M5" i="58"/>
  <c r="L5" i="58"/>
  <c r="L35" i="58" s="1"/>
  <c r="L3" i="58" s="1"/>
  <c r="K5" i="58"/>
  <c r="Q33" i="75"/>
  <c r="P33" i="75"/>
  <c r="O33" i="75"/>
  <c r="N33" i="75"/>
  <c r="M33" i="75"/>
  <c r="L33" i="75"/>
  <c r="K33" i="75"/>
  <c r="Q32" i="75"/>
  <c r="P32" i="75"/>
  <c r="O32" i="75"/>
  <c r="N32" i="75"/>
  <c r="M32" i="75"/>
  <c r="L32" i="75"/>
  <c r="K32" i="75"/>
  <c r="Q31" i="75"/>
  <c r="P31" i="75"/>
  <c r="O31" i="75"/>
  <c r="N31" i="75"/>
  <c r="M31" i="75"/>
  <c r="L31" i="75"/>
  <c r="K31" i="75"/>
  <c r="Q30" i="75"/>
  <c r="P30" i="75"/>
  <c r="O30" i="75"/>
  <c r="N30" i="75"/>
  <c r="M30" i="75"/>
  <c r="L30" i="75"/>
  <c r="K30" i="75"/>
  <c r="Q29" i="75"/>
  <c r="P29" i="75"/>
  <c r="O29" i="75"/>
  <c r="N29" i="75"/>
  <c r="M29" i="75"/>
  <c r="L29" i="75"/>
  <c r="K29" i="75"/>
  <c r="Q26" i="75"/>
  <c r="P26" i="75"/>
  <c r="O26" i="75"/>
  <c r="N26" i="75"/>
  <c r="M26" i="75"/>
  <c r="L26" i="75"/>
  <c r="K26" i="75"/>
  <c r="Q25" i="75"/>
  <c r="P25" i="75"/>
  <c r="O25" i="75"/>
  <c r="N25" i="75"/>
  <c r="M25" i="75"/>
  <c r="L25" i="75"/>
  <c r="K25" i="75"/>
  <c r="Q24" i="75"/>
  <c r="P24" i="75"/>
  <c r="O24" i="75"/>
  <c r="N24" i="75"/>
  <c r="M24" i="75"/>
  <c r="L24" i="75"/>
  <c r="K24" i="75"/>
  <c r="Q23" i="75"/>
  <c r="P23" i="75"/>
  <c r="O23" i="75"/>
  <c r="N23" i="75"/>
  <c r="M23" i="75"/>
  <c r="L23" i="75"/>
  <c r="K23" i="75"/>
  <c r="Q22" i="75"/>
  <c r="P22" i="75"/>
  <c r="O22" i="75"/>
  <c r="N22" i="75"/>
  <c r="M22" i="75"/>
  <c r="L22" i="75"/>
  <c r="K22" i="75"/>
  <c r="Q21" i="75"/>
  <c r="P21" i="75"/>
  <c r="O21" i="75"/>
  <c r="N21" i="75"/>
  <c r="M21" i="75"/>
  <c r="L21" i="75"/>
  <c r="K21" i="75"/>
  <c r="Q20" i="75"/>
  <c r="P20" i="75"/>
  <c r="O20" i="75"/>
  <c r="N20" i="75"/>
  <c r="M20" i="75"/>
  <c r="L20" i="75"/>
  <c r="K20" i="75"/>
  <c r="Q19" i="75"/>
  <c r="P19" i="75"/>
  <c r="O19" i="75"/>
  <c r="N19" i="75"/>
  <c r="M19" i="75"/>
  <c r="L19" i="75"/>
  <c r="K19" i="75"/>
  <c r="Q18" i="75"/>
  <c r="P18" i="75"/>
  <c r="O18" i="75"/>
  <c r="N18" i="75"/>
  <c r="M18" i="75"/>
  <c r="L18" i="75"/>
  <c r="K18" i="75"/>
  <c r="Q16" i="75"/>
  <c r="P16" i="75"/>
  <c r="O16" i="75"/>
  <c r="N16" i="75"/>
  <c r="M16" i="75"/>
  <c r="L16" i="75"/>
  <c r="K16" i="75"/>
  <c r="Q13" i="75"/>
  <c r="P13" i="75"/>
  <c r="O13" i="75"/>
  <c r="N13" i="75"/>
  <c r="M13" i="75"/>
  <c r="L13" i="75"/>
  <c r="K13" i="75"/>
  <c r="Q12" i="75"/>
  <c r="P12" i="75"/>
  <c r="O12" i="75"/>
  <c r="N12" i="75"/>
  <c r="M12" i="75"/>
  <c r="L12" i="75"/>
  <c r="K12" i="75"/>
  <c r="Q11" i="75"/>
  <c r="P11" i="75"/>
  <c r="O11" i="75"/>
  <c r="N11" i="75"/>
  <c r="M11" i="75"/>
  <c r="L11" i="75"/>
  <c r="K11" i="75"/>
  <c r="Q10" i="75"/>
  <c r="P10" i="75"/>
  <c r="O10" i="75"/>
  <c r="N10" i="75"/>
  <c r="M10" i="75"/>
  <c r="L10" i="75"/>
  <c r="K10" i="75"/>
  <c r="Q9" i="75"/>
  <c r="P9" i="75"/>
  <c r="O9" i="75"/>
  <c r="N9" i="75"/>
  <c r="M9" i="75"/>
  <c r="L9" i="75"/>
  <c r="K9" i="75"/>
  <c r="Q8" i="75"/>
  <c r="P8" i="75"/>
  <c r="O8" i="75"/>
  <c r="N8" i="75"/>
  <c r="M8" i="75"/>
  <c r="L8" i="75"/>
  <c r="K8" i="75"/>
  <c r="Q7" i="75"/>
  <c r="P7" i="75"/>
  <c r="O7" i="75"/>
  <c r="N7" i="75"/>
  <c r="M7" i="75"/>
  <c r="L7" i="75"/>
  <c r="K7" i="75"/>
  <c r="Q6" i="75"/>
  <c r="P6" i="75"/>
  <c r="O6" i="75"/>
  <c r="N6" i="75"/>
  <c r="M6" i="75"/>
  <c r="L6" i="75"/>
  <c r="K6" i="75"/>
  <c r="Q5" i="75"/>
  <c r="Q35" i="75" s="1"/>
  <c r="Q3" i="75" s="1"/>
  <c r="P5" i="75"/>
  <c r="P35" i="75" s="1"/>
  <c r="P3" i="75" s="1"/>
  <c r="O5" i="75"/>
  <c r="O35" i="75" s="1"/>
  <c r="O3" i="75" s="1"/>
  <c r="N5" i="75"/>
  <c r="N35" i="75" s="1"/>
  <c r="N3" i="75" s="1"/>
  <c r="M5" i="75"/>
  <c r="M35" i="75" s="1"/>
  <c r="M3" i="75" s="1"/>
  <c r="L5" i="75"/>
  <c r="K5" i="75"/>
  <c r="Q33" i="56"/>
  <c r="P33" i="56"/>
  <c r="O33" i="56"/>
  <c r="N33" i="56"/>
  <c r="M33" i="56"/>
  <c r="L33" i="56"/>
  <c r="K33" i="56"/>
  <c r="Q32" i="56"/>
  <c r="P32" i="56"/>
  <c r="O32" i="56"/>
  <c r="N32" i="56"/>
  <c r="M32" i="56"/>
  <c r="L32" i="56"/>
  <c r="K32" i="56"/>
  <c r="Q31" i="56"/>
  <c r="P31" i="56"/>
  <c r="O31" i="56"/>
  <c r="N31" i="56"/>
  <c r="M31" i="56"/>
  <c r="L31" i="56"/>
  <c r="K31" i="56"/>
  <c r="Q30" i="56"/>
  <c r="P30" i="56"/>
  <c r="O30" i="56"/>
  <c r="N30" i="56"/>
  <c r="M30" i="56"/>
  <c r="L30" i="56"/>
  <c r="K30" i="56"/>
  <c r="Q29" i="56"/>
  <c r="P29" i="56"/>
  <c r="O29" i="56"/>
  <c r="N29" i="56"/>
  <c r="M29" i="56"/>
  <c r="L29" i="56"/>
  <c r="K29" i="56"/>
  <c r="Q26" i="56"/>
  <c r="P26" i="56"/>
  <c r="O26" i="56"/>
  <c r="N26" i="56"/>
  <c r="M26" i="56"/>
  <c r="L26" i="56"/>
  <c r="K26" i="56"/>
  <c r="Q25" i="56"/>
  <c r="P25" i="56"/>
  <c r="O25" i="56"/>
  <c r="N25" i="56"/>
  <c r="M25" i="56"/>
  <c r="L25" i="56"/>
  <c r="K25" i="56"/>
  <c r="Q24" i="56"/>
  <c r="P24" i="56"/>
  <c r="O24" i="56"/>
  <c r="N24" i="56"/>
  <c r="M24" i="56"/>
  <c r="L24" i="56"/>
  <c r="K24" i="56"/>
  <c r="Q23" i="56"/>
  <c r="P23" i="56"/>
  <c r="O23" i="56"/>
  <c r="N23" i="56"/>
  <c r="M23" i="56"/>
  <c r="L23" i="56"/>
  <c r="K23" i="56"/>
  <c r="Q22" i="56"/>
  <c r="P22" i="56"/>
  <c r="O22" i="56"/>
  <c r="N22" i="56"/>
  <c r="M22" i="56"/>
  <c r="L22" i="56"/>
  <c r="K22" i="56"/>
  <c r="Q21" i="56"/>
  <c r="P21" i="56"/>
  <c r="O21" i="56"/>
  <c r="N21" i="56"/>
  <c r="M21" i="56"/>
  <c r="L21" i="56"/>
  <c r="K21" i="56"/>
  <c r="Q20" i="56"/>
  <c r="P20" i="56"/>
  <c r="O20" i="56"/>
  <c r="N20" i="56"/>
  <c r="M20" i="56"/>
  <c r="L20" i="56"/>
  <c r="K20" i="56"/>
  <c r="Q19" i="56"/>
  <c r="P19" i="56"/>
  <c r="O19" i="56"/>
  <c r="N19" i="56"/>
  <c r="M19" i="56"/>
  <c r="L19" i="56"/>
  <c r="K19" i="56"/>
  <c r="Q18" i="56"/>
  <c r="P18" i="56"/>
  <c r="O18" i="56"/>
  <c r="N18" i="56"/>
  <c r="M18" i="56"/>
  <c r="L18" i="56"/>
  <c r="K18" i="56"/>
  <c r="Q16" i="56"/>
  <c r="P16" i="56"/>
  <c r="O16" i="56"/>
  <c r="N16" i="56"/>
  <c r="M16" i="56"/>
  <c r="L16" i="56"/>
  <c r="K16" i="56"/>
  <c r="Q13" i="56"/>
  <c r="P13" i="56"/>
  <c r="O13" i="56"/>
  <c r="N13" i="56"/>
  <c r="M13" i="56"/>
  <c r="L13" i="56"/>
  <c r="K13" i="56"/>
  <c r="Q12" i="56"/>
  <c r="P12" i="56"/>
  <c r="O12" i="56"/>
  <c r="N12" i="56"/>
  <c r="M12" i="56"/>
  <c r="L12" i="56"/>
  <c r="K12" i="56"/>
  <c r="Q11" i="56"/>
  <c r="P11" i="56"/>
  <c r="O11" i="56"/>
  <c r="N11" i="56"/>
  <c r="M11" i="56"/>
  <c r="L11" i="56"/>
  <c r="K11" i="56"/>
  <c r="Q10" i="56"/>
  <c r="P10" i="56"/>
  <c r="O10" i="56"/>
  <c r="N10" i="56"/>
  <c r="M10" i="56"/>
  <c r="L10" i="56"/>
  <c r="K10" i="56"/>
  <c r="Q9" i="56"/>
  <c r="P9" i="56"/>
  <c r="O9" i="56"/>
  <c r="N9" i="56"/>
  <c r="M9" i="56"/>
  <c r="L9" i="56"/>
  <c r="K9" i="56"/>
  <c r="Q8" i="56"/>
  <c r="P8" i="56"/>
  <c r="O8" i="56"/>
  <c r="N8" i="56"/>
  <c r="M8" i="56"/>
  <c r="L8" i="56"/>
  <c r="K8" i="56"/>
  <c r="Q7" i="56"/>
  <c r="P7" i="56"/>
  <c r="O7" i="56"/>
  <c r="N7" i="56"/>
  <c r="M7" i="56"/>
  <c r="L7" i="56"/>
  <c r="K7" i="56"/>
  <c r="Q6" i="56"/>
  <c r="P6" i="56"/>
  <c r="O6" i="56"/>
  <c r="N6" i="56"/>
  <c r="M6" i="56"/>
  <c r="L6" i="56"/>
  <c r="K6" i="56"/>
  <c r="Q5" i="56"/>
  <c r="Q35" i="56" s="1"/>
  <c r="Q3" i="56" s="1"/>
  <c r="P5" i="56"/>
  <c r="P35" i="56" s="1"/>
  <c r="P3" i="56" s="1"/>
  <c r="O5" i="56"/>
  <c r="O35" i="56" s="1"/>
  <c r="O3" i="56" s="1"/>
  <c r="N5" i="56"/>
  <c r="N35" i="56" s="1"/>
  <c r="N3" i="56" s="1"/>
  <c r="M5" i="56"/>
  <c r="L5" i="56"/>
  <c r="L35" i="56" s="1"/>
  <c r="L3" i="56" s="1"/>
  <c r="K5" i="56"/>
  <c r="Q33" i="55"/>
  <c r="P33" i="55"/>
  <c r="O33" i="55"/>
  <c r="N33" i="55"/>
  <c r="M33" i="55"/>
  <c r="L33" i="55"/>
  <c r="K33" i="55"/>
  <c r="Q32" i="55"/>
  <c r="P32" i="55"/>
  <c r="O32" i="55"/>
  <c r="N32" i="55"/>
  <c r="M32" i="55"/>
  <c r="L32" i="55"/>
  <c r="K32" i="55"/>
  <c r="Q31" i="55"/>
  <c r="P31" i="55"/>
  <c r="O31" i="55"/>
  <c r="N31" i="55"/>
  <c r="M31" i="55"/>
  <c r="L31" i="55"/>
  <c r="K31" i="55"/>
  <c r="Q30" i="55"/>
  <c r="P30" i="55"/>
  <c r="O30" i="55"/>
  <c r="N30" i="55"/>
  <c r="M30" i="55"/>
  <c r="L30" i="55"/>
  <c r="K30" i="55"/>
  <c r="Q29" i="55"/>
  <c r="P29" i="55"/>
  <c r="O29" i="55"/>
  <c r="N29" i="55"/>
  <c r="M29" i="55"/>
  <c r="L29" i="55"/>
  <c r="K29" i="55"/>
  <c r="Q26" i="55"/>
  <c r="P26" i="55"/>
  <c r="O26" i="55"/>
  <c r="N26" i="55"/>
  <c r="M26" i="55"/>
  <c r="L26" i="55"/>
  <c r="K26" i="55"/>
  <c r="Q25" i="55"/>
  <c r="P25" i="55"/>
  <c r="O25" i="55"/>
  <c r="N25" i="55"/>
  <c r="M25" i="55"/>
  <c r="L25" i="55"/>
  <c r="K25" i="55"/>
  <c r="Q24" i="55"/>
  <c r="P24" i="55"/>
  <c r="O24" i="55"/>
  <c r="N24" i="55"/>
  <c r="M24" i="55"/>
  <c r="L24" i="55"/>
  <c r="K24" i="55"/>
  <c r="Q23" i="55"/>
  <c r="P23" i="55"/>
  <c r="O23" i="55"/>
  <c r="N23" i="55"/>
  <c r="M23" i="55"/>
  <c r="L23" i="55"/>
  <c r="K23" i="55"/>
  <c r="Q22" i="55"/>
  <c r="P22" i="55"/>
  <c r="O22" i="55"/>
  <c r="N22" i="55"/>
  <c r="M22" i="55"/>
  <c r="L22" i="55"/>
  <c r="K22" i="55"/>
  <c r="Q21" i="55"/>
  <c r="P21" i="55"/>
  <c r="O21" i="55"/>
  <c r="N21" i="55"/>
  <c r="M21" i="55"/>
  <c r="L21" i="55"/>
  <c r="K21" i="55"/>
  <c r="Q20" i="55"/>
  <c r="P20" i="55"/>
  <c r="O20" i="55"/>
  <c r="N20" i="55"/>
  <c r="M20" i="55"/>
  <c r="L20" i="55"/>
  <c r="K20" i="55"/>
  <c r="Q19" i="55"/>
  <c r="P19" i="55"/>
  <c r="O19" i="55"/>
  <c r="N19" i="55"/>
  <c r="M19" i="55"/>
  <c r="L19" i="55"/>
  <c r="K19" i="55"/>
  <c r="Q18" i="55"/>
  <c r="P18" i="55"/>
  <c r="O18" i="55"/>
  <c r="N18" i="55"/>
  <c r="M18" i="55"/>
  <c r="L18" i="55"/>
  <c r="K18" i="55"/>
  <c r="Q16" i="55"/>
  <c r="P16" i="55"/>
  <c r="O16" i="55"/>
  <c r="N16" i="55"/>
  <c r="M16" i="55"/>
  <c r="L16" i="55"/>
  <c r="K16" i="55"/>
  <c r="Q13" i="55"/>
  <c r="P13" i="55"/>
  <c r="O13" i="55"/>
  <c r="N13" i="55"/>
  <c r="M13" i="55"/>
  <c r="L13" i="55"/>
  <c r="K13" i="55"/>
  <c r="Q12" i="55"/>
  <c r="P12" i="55"/>
  <c r="O12" i="55"/>
  <c r="N12" i="55"/>
  <c r="M12" i="55"/>
  <c r="L12" i="55"/>
  <c r="K12" i="55"/>
  <c r="Q11" i="55"/>
  <c r="P11" i="55"/>
  <c r="O11" i="55"/>
  <c r="N11" i="55"/>
  <c r="M11" i="55"/>
  <c r="L11" i="55"/>
  <c r="K11" i="55"/>
  <c r="Q10" i="55"/>
  <c r="P10" i="55"/>
  <c r="O10" i="55"/>
  <c r="N10" i="55"/>
  <c r="M10" i="55"/>
  <c r="L10" i="55"/>
  <c r="K10" i="55"/>
  <c r="Q9" i="55"/>
  <c r="P9" i="55"/>
  <c r="O9" i="55"/>
  <c r="N9" i="55"/>
  <c r="M9" i="55"/>
  <c r="L9" i="55"/>
  <c r="K9" i="55"/>
  <c r="Q8" i="55"/>
  <c r="P8" i="55"/>
  <c r="O8" i="55"/>
  <c r="N8" i="55"/>
  <c r="M8" i="55"/>
  <c r="L8" i="55"/>
  <c r="K8" i="55"/>
  <c r="Q7" i="55"/>
  <c r="P7" i="55"/>
  <c r="O7" i="55"/>
  <c r="N7" i="55"/>
  <c r="M7" i="55"/>
  <c r="L7" i="55"/>
  <c r="K7" i="55"/>
  <c r="Q6" i="55"/>
  <c r="P6" i="55"/>
  <c r="O6" i="55"/>
  <c r="N6" i="55"/>
  <c r="M6" i="55"/>
  <c r="L6" i="55"/>
  <c r="K6" i="55"/>
  <c r="Q5" i="55"/>
  <c r="Q35" i="55" s="1"/>
  <c r="Q3" i="55" s="1"/>
  <c r="P5" i="55"/>
  <c r="P35" i="55" s="1"/>
  <c r="P3" i="55" s="1"/>
  <c r="O5" i="55"/>
  <c r="N5" i="55"/>
  <c r="M5" i="55"/>
  <c r="L5" i="55"/>
  <c r="K5" i="55"/>
  <c r="Q33" i="54"/>
  <c r="P33" i="54"/>
  <c r="O33" i="54"/>
  <c r="N33" i="54"/>
  <c r="M33" i="54"/>
  <c r="L33" i="54"/>
  <c r="K33" i="54"/>
  <c r="Q32" i="54"/>
  <c r="P32" i="54"/>
  <c r="O32" i="54"/>
  <c r="N32" i="54"/>
  <c r="M32" i="54"/>
  <c r="L32" i="54"/>
  <c r="K32" i="54"/>
  <c r="Q31" i="54"/>
  <c r="P31" i="54"/>
  <c r="O31" i="54"/>
  <c r="N31" i="54"/>
  <c r="M31" i="54"/>
  <c r="L31" i="54"/>
  <c r="K31" i="54"/>
  <c r="Q30" i="54"/>
  <c r="P30" i="54"/>
  <c r="O30" i="54"/>
  <c r="N30" i="54"/>
  <c r="M30" i="54"/>
  <c r="L30" i="54"/>
  <c r="K30" i="54"/>
  <c r="Q29" i="54"/>
  <c r="P29" i="54"/>
  <c r="O29" i="54"/>
  <c r="N29" i="54"/>
  <c r="M29" i="54"/>
  <c r="L29" i="54"/>
  <c r="K29" i="54"/>
  <c r="Q26" i="54"/>
  <c r="P26" i="54"/>
  <c r="O26" i="54"/>
  <c r="N26" i="54"/>
  <c r="M26" i="54"/>
  <c r="L26" i="54"/>
  <c r="K26" i="54"/>
  <c r="Q25" i="54"/>
  <c r="P25" i="54"/>
  <c r="O25" i="54"/>
  <c r="N25" i="54"/>
  <c r="M25" i="54"/>
  <c r="L25" i="54"/>
  <c r="K25" i="54"/>
  <c r="Q24" i="54"/>
  <c r="P24" i="54"/>
  <c r="O24" i="54"/>
  <c r="N24" i="54"/>
  <c r="M24" i="54"/>
  <c r="L24" i="54"/>
  <c r="K24" i="54"/>
  <c r="Q23" i="54"/>
  <c r="P23" i="54"/>
  <c r="O23" i="54"/>
  <c r="N23" i="54"/>
  <c r="M23" i="54"/>
  <c r="L23" i="54"/>
  <c r="K23" i="54"/>
  <c r="Q22" i="54"/>
  <c r="P22" i="54"/>
  <c r="O22" i="54"/>
  <c r="N22" i="54"/>
  <c r="M22" i="54"/>
  <c r="L22" i="54"/>
  <c r="K22" i="54"/>
  <c r="Q21" i="54"/>
  <c r="P21" i="54"/>
  <c r="O21" i="54"/>
  <c r="N21" i="54"/>
  <c r="M21" i="54"/>
  <c r="L21" i="54"/>
  <c r="K21" i="54"/>
  <c r="Q20" i="54"/>
  <c r="P20" i="54"/>
  <c r="O20" i="54"/>
  <c r="N20" i="54"/>
  <c r="M20" i="54"/>
  <c r="L20" i="54"/>
  <c r="K20" i="54"/>
  <c r="Q19" i="54"/>
  <c r="P19" i="54"/>
  <c r="O19" i="54"/>
  <c r="N19" i="54"/>
  <c r="M19" i="54"/>
  <c r="L19" i="54"/>
  <c r="K19" i="54"/>
  <c r="Q18" i="54"/>
  <c r="P18" i="54"/>
  <c r="O18" i="54"/>
  <c r="N18" i="54"/>
  <c r="M18" i="54"/>
  <c r="L18" i="54"/>
  <c r="K18" i="54"/>
  <c r="Q16" i="54"/>
  <c r="P16" i="54"/>
  <c r="O16" i="54"/>
  <c r="N16" i="54"/>
  <c r="M16" i="54"/>
  <c r="L16" i="54"/>
  <c r="K16" i="54"/>
  <c r="Q13" i="54"/>
  <c r="P13" i="54"/>
  <c r="O13" i="54"/>
  <c r="N13" i="54"/>
  <c r="M13" i="54"/>
  <c r="L13" i="54"/>
  <c r="K13" i="54"/>
  <c r="Q12" i="54"/>
  <c r="P12" i="54"/>
  <c r="O12" i="54"/>
  <c r="N12" i="54"/>
  <c r="M12" i="54"/>
  <c r="L12" i="54"/>
  <c r="K12" i="54"/>
  <c r="Q11" i="54"/>
  <c r="P11" i="54"/>
  <c r="O11" i="54"/>
  <c r="N11" i="54"/>
  <c r="M11" i="54"/>
  <c r="L11" i="54"/>
  <c r="K11" i="54"/>
  <c r="Q10" i="54"/>
  <c r="P10" i="54"/>
  <c r="O10" i="54"/>
  <c r="N10" i="54"/>
  <c r="M10" i="54"/>
  <c r="L10" i="54"/>
  <c r="K10" i="54"/>
  <c r="Q9" i="54"/>
  <c r="P9" i="54"/>
  <c r="O9" i="54"/>
  <c r="N9" i="54"/>
  <c r="M9" i="54"/>
  <c r="L9" i="54"/>
  <c r="K9" i="54"/>
  <c r="Q8" i="54"/>
  <c r="P8" i="54"/>
  <c r="O8" i="54"/>
  <c r="N8" i="54"/>
  <c r="M8" i="54"/>
  <c r="L8" i="54"/>
  <c r="K8" i="54"/>
  <c r="Q7" i="54"/>
  <c r="P7" i="54"/>
  <c r="O7" i="54"/>
  <c r="N7" i="54"/>
  <c r="M7" i="54"/>
  <c r="L7" i="54"/>
  <c r="K7" i="54"/>
  <c r="Q6" i="54"/>
  <c r="P6" i="54"/>
  <c r="O6" i="54"/>
  <c r="N6" i="54"/>
  <c r="M6" i="54"/>
  <c r="L6" i="54"/>
  <c r="K6" i="54"/>
  <c r="Q5" i="54"/>
  <c r="Q35" i="54" s="1"/>
  <c r="Q3" i="54" s="1"/>
  <c r="P5" i="54"/>
  <c r="P35" i="54" s="1"/>
  <c r="P3" i="54" s="1"/>
  <c r="O5" i="54"/>
  <c r="O35" i="54" s="1"/>
  <c r="O3" i="54" s="1"/>
  <c r="N5" i="54"/>
  <c r="M5" i="54"/>
  <c r="L5" i="54"/>
  <c r="L35" i="54" s="1"/>
  <c r="L3" i="54" s="1"/>
  <c r="K5" i="54"/>
  <c r="Q33" i="53"/>
  <c r="P33" i="53"/>
  <c r="O33" i="53"/>
  <c r="N33" i="53"/>
  <c r="M33" i="53"/>
  <c r="L33" i="53"/>
  <c r="K33" i="53"/>
  <c r="Q32" i="53"/>
  <c r="P32" i="53"/>
  <c r="O32" i="53"/>
  <c r="N32" i="53"/>
  <c r="M32" i="53"/>
  <c r="L32" i="53"/>
  <c r="K32" i="53"/>
  <c r="Q31" i="53"/>
  <c r="P31" i="53"/>
  <c r="O31" i="53"/>
  <c r="N31" i="53"/>
  <c r="M31" i="53"/>
  <c r="L31" i="53"/>
  <c r="K31" i="53"/>
  <c r="Q30" i="53"/>
  <c r="P30" i="53"/>
  <c r="O30" i="53"/>
  <c r="N30" i="53"/>
  <c r="M30" i="53"/>
  <c r="L30" i="53"/>
  <c r="K30" i="53"/>
  <c r="Q29" i="53"/>
  <c r="P29" i="53"/>
  <c r="O29" i="53"/>
  <c r="N29" i="53"/>
  <c r="M29" i="53"/>
  <c r="L29" i="53"/>
  <c r="K29" i="53"/>
  <c r="Q26" i="53"/>
  <c r="P26" i="53"/>
  <c r="O26" i="53"/>
  <c r="N26" i="53"/>
  <c r="M26" i="53"/>
  <c r="L26" i="53"/>
  <c r="K26" i="53"/>
  <c r="Q25" i="53"/>
  <c r="P25" i="53"/>
  <c r="O25" i="53"/>
  <c r="N25" i="53"/>
  <c r="M25" i="53"/>
  <c r="L25" i="53"/>
  <c r="K25" i="53"/>
  <c r="Q24" i="53"/>
  <c r="P24" i="53"/>
  <c r="O24" i="53"/>
  <c r="N24" i="53"/>
  <c r="M24" i="53"/>
  <c r="L24" i="53"/>
  <c r="K24" i="53"/>
  <c r="Q23" i="53"/>
  <c r="P23" i="53"/>
  <c r="O23" i="53"/>
  <c r="N23" i="53"/>
  <c r="M23" i="53"/>
  <c r="L23" i="53"/>
  <c r="K23" i="53"/>
  <c r="Q22" i="53"/>
  <c r="P22" i="53"/>
  <c r="O22" i="53"/>
  <c r="N22" i="53"/>
  <c r="M22" i="53"/>
  <c r="L22" i="53"/>
  <c r="K22" i="53"/>
  <c r="Q21" i="53"/>
  <c r="P21" i="53"/>
  <c r="O21" i="53"/>
  <c r="N21" i="53"/>
  <c r="M21" i="53"/>
  <c r="L21" i="53"/>
  <c r="K21" i="53"/>
  <c r="Q20" i="53"/>
  <c r="P20" i="53"/>
  <c r="O20" i="53"/>
  <c r="N20" i="53"/>
  <c r="M20" i="53"/>
  <c r="L20" i="53"/>
  <c r="K20" i="53"/>
  <c r="Q19" i="53"/>
  <c r="P19" i="53"/>
  <c r="O19" i="53"/>
  <c r="N19" i="53"/>
  <c r="M19" i="53"/>
  <c r="L19" i="53"/>
  <c r="K19" i="53"/>
  <c r="Q18" i="53"/>
  <c r="P18" i="53"/>
  <c r="O18" i="53"/>
  <c r="N18" i="53"/>
  <c r="M18" i="53"/>
  <c r="L18" i="53"/>
  <c r="K18" i="53"/>
  <c r="Q16" i="53"/>
  <c r="P16" i="53"/>
  <c r="O16" i="53"/>
  <c r="N16" i="53"/>
  <c r="M16" i="53"/>
  <c r="L16" i="53"/>
  <c r="K16" i="53"/>
  <c r="Q13" i="53"/>
  <c r="P13" i="53"/>
  <c r="O13" i="53"/>
  <c r="N13" i="53"/>
  <c r="M13" i="53"/>
  <c r="L13" i="53"/>
  <c r="K13" i="53"/>
  <c r="Q12" i="53"/>
  <c r="P12" i="53"/>
  <c r="O12" i="53"/>
  <c r="N12" i="53"/>
  <c r="M12" i="53"/>
  <c r="L12" i="53"/>
  <c r="K12" i="53"/>
  <c r="Q11" i="53"/>
  <c r="P11" i="53"/>
  <c r="O11" i="53"/>
  <c r="N11" i="53"/>
  <c r="M11" i="53"/>
  <c r="L11" i="53"/>
  <c r="K11" i="53"/>
  <c r="Q10" i="53"/>
  <c r="P10" i="53"/>
  <c r="O10" i="53"/>
  <c r="N10" i="53"/>
  <c r="M10" i="53"/>
  <c r="L10" i="53"/>
  <c r="K10" i="53"/>
  <c r="Q9" i="53"/>
  <c r="P9" i="53"/>
  <c r="O9" i="53"/>
  <c r="N9" i="53"/>
  <c r="M9" i="53"/>
  <c r="L9" i="53"/>
  <c r="K9" i="53"/>
  <c r="Q8" i="53"/>
  <c r="P8" i="53"/>
  <c r="O8" i="53"/>
  <c r="N8" i="53"/>
  <c r="M8" i="53"/>
  <c r="L8" i="53"/>
  <c r="K8" i="53"/>
  <c r="Q7" i="53"/>
  <c r="P7" i="53"/>
  <c r="O7" i="53"/>
  <c r="N7" i="53"/>
  <c r="M7" i="53"/>
  <c r="L7" i="53"/>
  <c r="K7" i="53"/>
  <c r="Q6" i="53"/>
  <c r="P6" i="53"/>
  <c r="O6" i="53"/>
  <c r="N6" i="53"/>
  <c r="M6" i="53"/>
  <c r="L6" i="53"/>
  <c r="K6" i="53"/>
  <c r="Q5" i="53"/>
  <c r="Q35" i="53" s="1"/>
  <c r="Q3" i="53" s="1"/>
  <c r="P5" i="53"/>
  <c r="P35" i="53" s="1"/>
  <c r="P3" i="53" s="1"/>
  <c r="O5" i="53"/>
  <c r="O35" i="53" s="1"/>
  <c r="O3" i="53" s="1"/>
  <c r="N5" i="53"/>
  <c r="N35" i="53" s="1"/>
  <c r="N3" i="53" s="1"/>
  <c r="M5" i="53"/>
  <c r="L5" i="53"/>
  <c r="L35" i="53" s="1"/>
  <c r="L3" i="53" s="1"/>
  <c r="K5" i="53"/>
  <c r="Q33" i="52"/>
  <c r="P33" i="52"/>
  <c r="O33" i="52"/>
  <c r="N33" i="52"/>
  <c r="M33" i="52"/>
  <c r="L33" i="52"/>
  <c r="K33" i="52"/>
  <c r="Q32" i="52"/>
  <c r="P32" i="52"/>
  <c r="O32" i="52"/>
  <c r="N32" i="52"/>
  <c r="M32" i="52"/>
  <c r="L32" i="52"/>
  <c r="K32" i="52"/>
  <c r="Q31" i="52"/>
  <c r="P31" i="52"/>
  <c r="O31" i="52"/>
  <c r="N31" i="52"/>
  <c r="M31" i="52"/>
  <c r="L31" i="52"/>
  <c r="K31" i="52"/>
  <c r="Q30" i="52"/>
  <c r="P30" i="52"/>
  <c r="O30" i="52"/>
  <c r="N30" i="52"/>
  <c r="M30" i="52"/>
  <c r="L30" i="52"/>
  <c r="K30" i="52"/>
  <c r="Q29" i="52"/>
  <c r="P29" i="52"/>
  <c r="O29" i="52"/>
  <c r="N29" i="52"/>
  <c r="M29" i="52"/>
  <c r="L29" i="52"/>
  <c r="K29" i="52"/>
  <c r="Q26" i="52"/>
  <c r="P26" i="52"/>
  <c r="O26" i="52"/>
  <c r="N26" i="52"/>
  <c r="M26" i="52"/>
  <c r="L26" i="52"/>
  <c r="K26" i="52"/>
  <c r="Q25" i="52"/>
  <c r="P25" i="52"/>
  <c r="O25" i="52"/>
  <c r="N25" i="52"/>
  <c r="M25" i="52"/>
  <c r="L25" i="52"/>
  <c r="K25" i="52"/>
  <c r="Q24" i="52"/>
  <c r="P24" i="52"/>
  <c r="O24" i="52"/>
  <c r="N24" i="52"/>
  <c r="M24" i="52"/>
  <c r="L24" i="52"/>
  <c r="K24" i="52"/>
  <c r="Q23" i="52"/>
  <c r="P23" i="52"/>
  <c r="O23" i="52"/>
  <c r="N23" i="52"/>
  <c r="M23" i="52"/>
  <c r="L23" i="52"/>
  <c r="K23" i="52"/>
  <c r="Q22" i="52"/>
  <c r="P22" i="52"/>
  <c r="O22" i="52"/>
  <c r="N22" i="52"/>
  <c r="M22" i="52"/>
  <c r="L22" i="52"/>
  <c r="K22" i="52"/>
  <c r="Q21" i="52"/>
  <c r="P21" i="52"/>
  <c r="O21" i="52"/>
  <c r="N21" i="52"/>
  <c r="M21" i="52"/>
  <c r="L21" i="52"/>
  <c r="K21" i="52"/>
  <c r="Q20" i="52"/>
  <c r="P20" i="52"/>
  <c r="O20" i="52"/>
  <c r="N20" i="52"/>
  <c r="M20" i="52"/>
  <c r="L20" i="52"/>
  <c r="K20" i="52"/>
  <c r="Q19" i="52"/>
  <c r="P19" i="52"/>
  <c r="O19" i="52"/>
  <c r="N19" i="52"/>
  <c r="M19" i="52"/>
  <c r="L19" i="52"/>
  <c r="K19" i="52"/>
  <c r="Q18" i="52"/>
  <c r="P18" i="52"/>
  <c r="O18" i="52"/>
  <c r="N18" i="52"/>
  <c r="M18" i="52"/>
  <c r="L18" i="52"/>
  <c r="K18" i="52"/>
  <c r="Q16" i="52"/>
  <c r="P16" i="52"/>
  <c r="O16" i="52"/>
  <c r="N16" i="52"/>
  <c r="M16" i="52"/>
  <c r="L16" i="52"/>
  <c r="K16" i="52"/>
  <c r="Q13" i="52"/>
  <c r="P13" i="52"/>
  <c r="O13" i="52"/>
  <c r="N13" i="52"/>
  <c r="M13" i="52"/>
  <c r="L13" i="52"/>
  <c r="K13" i="52"/>
  <c r="Q12" i="52"/>
  <c r="P12" i="52"/>
  <c r="O12" i="52"/>
  <c r="N12" i="52"/>
  <c r="M12" i="52"/>
  <c r="L12" i="52"/>
  <c r="K12" i="52"/>
  <c r="Q11" i="52"/>
  <c r="P11" i="52"/>
  <c r="O11" i="52"/>
  <c r="N11" i="52"/>
  <c r="M11" i="52"/>
  <c r="L11" i="52"/>
  <c r="K11" i="52"/>
  <c r="Q10" i="52"/>
  <c r="P10" i="52"/>
  <c r="O10" i="52"/>
  <c r="N10" i="52"/>
  <c r="M10" i="52"/>
  <c r="L10" i="52"/>
  <c r="K10" i="52"/>
  <c r="Q9" i="52"/>
  <c r="P9" i="52"/>
  <c r="O9" i="52"/>
  <c r="N9" i="52"/>
  <c r="M9" i="52"/>
  <c r="L9" i="52"/>
  <c r="K9" i="52"/>
  <c r="Q8" i="52"/>
  <c r="P8" i="52"/>
  <c r="O8" i="52"/>
  <c r="N8" i="52"/>
  <c r="M8" i="52"/>
  <c r="L8" i="52"/>
  <c r="K8" i="52"/>
  <c r="Q7" i="52"/>
  <c r="P7" i="52"/>
  <c r="O7" i="52"/>
  <c r="N7" i="52"/>
  <c r="M7" i="52"/>
  <c r="L7" i="52"/>
  <c r="K7" i="52"/>
  <c r="Q6" i="52"/>
  <c r="P6" i="52"/>
  <c r="O6" i="52"/>
  <c r="N6" i="52"/>
  <c r="M6" i="52"/>
  <c r="L6" i="52"/>
  <c r="K6" i="52"/>
  <c r="Q5" i="52"/>
  <c r="Q35" i="52" s="1"/>
  <c r="Q3" i="52" s="1"/>
  <c r="P5" i="52"/>
  <c r="P35" i="52" s="1"/>
  <c r="P3" i="52" s="1"/>
  <c r="O5" i="52"/>
  <c r="O35" i="52" s="1"/>
  <c r="O3" i="52" s="1"/>
  <c r="N5" i="52"/>
  <c r="M5" i="52"/>
  <c r="L5" i="52"/>
  <c r="K5" i="52"/>
  <c r="Q33" i="51"/>
  <c r="P33" i="51"/>
  <c r="O33" i="51"/>
  <c r="N33" i="51"/>
  <c r="M33" i="51"/>
  <c r="L33" i="51"/>
  <c r="K33" i="51"/>
  <c r="Q32" i="51"/>
  <c r="P32" i="51"/>
  <c r="O32" i="51"/>
  <c r="N32" i="51"/>
  <c r="M32" i="51"/>
  <c r="L32" i="51"/>
  <c r="K32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Q23" i="51"/>
  <c r="P23" i="51"/>
  <c r="O23" i="51"/>
  <c r="N23" i="51"/>
  <c r="M23" i="51"/>
  <c r="L23" i="51"/>
  <c r="K23" i="51"/>
  <c r="Q22" i="51"/>
  <c r="P22" i="51"/>
  <c r="O22" i="51"/>
  <c r="N22" i="51"/>
  <c r="M22" i="51"/>
  <c r="L22" i="51"/>
  <c r="K22" i="51"/>
  <c r="Q21" i="51"/>
  <c r="P21" i="51"/>
  <c r="O21" i="51"/>
  <c r="N21" i="51"/>
  <c r="M21" i="51"/>
  <c r="L21" i="51"/>
  <c r="K21" i="51"/>
  <c r="Q20" i="51"/>
  <c r="P20" i="51"/>
  <c r="O20" i="51"/>
  <c r="N20" i="51"/>
  <c r="M20" i="51"/>
  <c r="L20" i="51"/>
  <c r="K20" i="51"/>
  <c r="Q19" i="51"/>
  <c r="P19" i="51"/>
  <c r="O19" i="51"/>
  <c r="N19" i="51"/>
  <c r="M19" i="51"/>
  <c r="L19" i="51"/>
  <c r="K19" i="51"/>
  <c r="Q18" i="51"/>
  <c r="P18" i="51"/>
  <c r="O18" i="51"/>
  <c r="N18" i="51"/>
  <c r="M18" i="51"/>
  <c r="L18" i="51"/>
  <c r="K18" i="51"/>
  <c r="Q16" i="51"/>
  <c r="P16" i="51"/>
  <c r="O16" i="51"/>
  <c r="N16" i="51"/>
  <c r="M16" i="51"/>
  <c r="L16" i="51"/>
  <c r="K16" i="51"/>
  <c r="Q13" i="51"/>
  <c r="P13" i="51"/>
  <c r="O13" i="51"/>
  <c r="N13" i="51"/>
  <c r="M13" i="51"/>
  <c r="L13" i="51"/>
  <c r="K13" i="51"/>
  <c r="Q12" i="51"/>
  <c r="P12" i="51"/>
  <c r="O12" i="51"/>
  <c r="N12" i="51"/>
  <c r="M12" i="51"/>
  <c r="L12" i="51"/>
  <c r="K12" i="51"/>
  <c r="Q11" i="51"/>
  <c r="P11" i="51"/>
  <c r="O11" i="51"/>
  <c r="N11" i="51"/>
  <c r="M11" i="51"/>
  <c r="L11" i="51"/>
  <c r="K11" i="51"/>
  <c r="Q10" i="51"/>
  <c r="P10" i="51"/>
  <c r="O10" i="51"/>
  <c r="N10" i="51"/>
  <c r="M10" i="51"/>
  <c r="L10" i="51"/>
  <c r="K10" i="51"/>
  <c r="Q9" i="51"/>
  <c r="P9" i="51"/>
  <c r="O9" i="51"/>
  <c r="N9" i="51"/>
  <c r="M9" i="51"/>
  <c r="L9" i="51"/>
  <c r="K9" i="51"/>
  <c r="Q8" i="51"/>
  <c r="P8" i="51"/>
  <c r="O8" i="51"/>
  <c r="N8" i="51"/>
  <c r="M8" i="51"/>
  <c r="L8" i="51"/>
  <c r="K8" i="51"/>
  <c r="Q7" i="51"/>
  <c r="P7" i="51"/>
  <c r="O7" i="51"/>
  <c r="N7" i="51"/>
  <c r="M7" i="51"/>
  <c r="L7" i="51"/>
  <c r="K7" i="51"/>
  <c r="Q6" i="51"/>
  <c r="P6" i="51"/>
  <c r="O6" i="51"/>
  <c r="N6" i="51"/>
  <c r="M6" i="51"/>
  <c r="L6" i="51"/>
  <c r="K6" i="51"/>
  <c r="Q5" i="51"/>
  <c r="Q35" i="51" s="1"/>
  <c r="Q3" i="51" s="1"/>
  <c r="P5" i="51"/>
  <c r="P35" i="51" s="1"/>
  <c r="P3" i="51" s="1"/>
  <c r="O5" i="51"/>
  <c r="O35" i="51" s="1"/>
  <c r="O3" i="51" s="1"/>
  <c r="N5" i="51"/>
  <c r="N35" i="51" s="1"/>
  <c r="N3" i="51" s="1"/>
  <c r="M5" i="51"/>
  <c r="L5" i="51"/>
  <c r="L35" i="51" s="1"/>
  <c r="L3" i="51" s="1"/>
  <c r="K5" i="51"/>
  <c r="Q33" i="49"/>
  <c r="P33" i="49"/>
  <c r="O33" i="49"/>
  <c r="N33" i="49"/>
  <c r="M33" i="49"/>
  <c r="L33" i="49"/>
  <c r="K33" i="49"/>
  <c r="Q32" i="49"/>
  <c r="P32" i="49"/>
  <c r="O32" i="49"/>
  <c r="N32" i="49"/>
  <c r="M32" i="49"/>
  <c r="L32" i="49"/>
  <c r="K32" i="49"/>
  <c r="Q31" i="49"/>
  <c r="P31" i="49"/>
  <c r="O31" i="49"/>
  <c r="N31" i="49"/>
  <c r="M31" i="49"/>
  <c r="L31" i="49"/>
  <c r="K31" i="49"/>
  <c r="Q30" i="49"/>
  <c r="P30" i="49"/>
  <c r="O30" i="49"/>
  <c r="N30" i="49"/>
  <c r="M30" i="49"/>
  <c r="L30" i="49"/>
  <c r="K30" i="49"/>
  <c r="Q29" i="49"/>
  <c r="P29" i="49"/>
  <c r="O29" i="49"/>
  <c r="N29" i="49"/>
  <c r="M29" i="49"/>
  <c r="L29" i="49"/>
  <c r="K29" i="49"/>
  <c r="Q26" i="49"/>
  <c r="P26" i="49"/>
  <c r="O26" i="49"/>
  <c r="N26" i="49"/>
  <c r="M26" i="49"/>
  <c r="L26" i="49"/>
  <c r="K26" i="49"/>
  <c r="Q25" i="49"/>
  <c r="P25" i="49"/>
  <c r="O25" i="49"/>
  <c r="N25" i="49"/>
  <c r="M25" i="49"/>
  <c r="L25" i="49"/>
  <c r="K25" i="49"/>
  <c r="Q24" i="49"/>
  <c r="P24" i="49"/>
  <c r="O24" i="49"/>
  <c r="N24" i="49"/>
  <c r="M24" i="49"/>
  <c r="L24" i="49"/>
  <c r="K24" i="49"/>
  <c r="Q23" i="49"/>
  <c r="P23" i="49"/>
  <c r="O23" i="49"/>
  <c r="N23" i="49"/>
  <c r="M23" i="49"/>
  <c r="L23" i="49"/>
  <c r="K23" i="49"/>
  <c r="Q22" i="49"/>
  <c r="P22" i="49"/>
  <c r="O22" i="49"/>
  <c r="N22" i="49"/>
  <c r="M22" i="49"/>
  <c r="L22" i="49"/>
  <c r="K22" i="49"/>
  <c r="Q21" i="49"/>
  <c r="P21" i="49"/>
  <c r="O21" i="49"/>
  <c r="N21" i="49"/>
  <c r="M21" i="49"/>
  <c r="L21" i="49"/>
  <c r="K21" i="49"/>
  <c r="Q20" i="49"/>
  <c r="P20" i="49"/>
  <c r="O20" i="49"/>
  <c r="N20" i="49"/>
  <c r="M20" i="49"/>
  <c r="L20" i="49"/>
  <c r="K20" i="49"/>
  <c r="Q19" i="49"/>
  <c r="P19" i="49"/>
  <c r="O19" i="49"/>
  <c r="N19" i="49"/>
  <c r="M19" i="49"/>
  <c r="L19" i="49"/>
  <c r="K19" i="49"/>
  <c r="Q18" i="49"/>
  <c r="P18" i="49"/>
  <c r="O18" i="49"/>
  <c r="N18" i="49"/>
  <c r="M18" i="49"/>
  <c r="L18" i="49"/>
  <c r="K18" i="49"/>
  <c r="Q16" i="49"/>
  <c r="P16" i="49"/>
  <c r="O16" i="49"/>
  <c r="N16" i="49"/>
  <c r="M16" i="49"/>
  <c r="L16" i="49"/>
  <c r="K16" i="49"/>
  <c r="Q13" i="49"/>
  <c r="P13" i="49"/>
  <c r="O13" i="49"/>
  <c r="N13" i="49"/>
  <c r="M13" i="49"/>
  <c r="L13" i="49"/>
  <c r="K13" i="49"/>
  <c r="Q12" i="49"/>
  <c r="P12" i="49"/>
  <c r="O12" i="49"/>
  <c r="N12" i="49"/>
  <c r="M12" i="49"/>
  <c r="L12" i="49"/>
  <c r="K12" i="49"/>
  <c r="Q11" i="49"/>
  <c r="P11" i="49"/>
  <c r="O11" i="49"/>
  <c r="N11" i="49"/>
  <c r="M11" i="49"/>
  <c r="L11" i="49"/>
  <c r="K11" i="49"/>
  <c r="Q10" i="49"/>
  <c r="P10" i="49"/>
  <c r="O10" i="49"/>
  <c r="N10" i="49"/>
  <c r="M10" i="49"/>
  <c r="L10" i="49"/>
  <c r="K10" i="49"/>
  <c r="Q9" i="49"/>
  <c r="P9" i="49"/>
  <c r="O9" i="49"/>
  <c r="N9" i="49"/>
  <c r="M9" i="49"/>
  <c r="L9" i="49"/>
  <c r="K9" i="49"/>
  <c r="Q8" i="49"/>
  <c r="P8" i="49"/>
  <c r="O8" i="49"/>
  <c r="N8" i="49"/>
  <c r="M8" i="49"/>
  <c r="L8" i="49"/>
  <c r="K8" i="49"/>
  <c r="Q7" i="49"/>
  <c r="P7" i="49"/>
  <c r="O7" i="49"/>
  <c r="N7" i="49"/>
  <c r="M7" i="49"/>
  <c r="L7" i="49"/>
  <c r="K7" i="49"/>
  <c r="Q6" i="49"/>
  <c r="P6" i="49"/>
  <c r="O6" i="49"/>
  <c r="N6" i="49"/>
  <c r="M6" i="49"/>
  <c r="L6" i="49"/>
  <c r="K6" i="49"/>
  <c r="Q5" i="49"/>
  <c r="Q35" i="49" s="1"/>
  <c r="Q3" i="49" s="1"/>
  <c r="P5" i="49"/>
  <c r="P35" i="49" s="1"/>
  <c r="P3" i="49" s="1"/>
  <c r="O5" i="49"/>
  <c r="O35" i="49" s="1"/>
  <c r="O3" i="49" s="1"/>
  <c r="N5" i="49"/>
  <c r="N35" i="49" s="1"/>
  <c r="N3" i="49" s="1"/>
  <c r="M5" i="49"/>
  <c r="L5" i="49"/>
  <c r="L35" i="49" s="1"/>
  <c r="L3" i="49" s="1"/>
  <c r="K5" i="49"/>
  <c r="Q33" i="48"/>
  <c r="P33" i="48"/>
  <c r="O33" i="48"/>
  <c r="N33" i="48"/>
  <c r="M33" i="48"/>
  <c r="L33" i="48"/>
  <c r="K33" i="48"/>
  <c r="Q32" i="48"/>
  <c r="P32" i="48"/>
  <c r="O32" i="48"/>
  <c r="N32" i="48"/>
  <c r="M32" i="48"/>
  <c r="L32" i="48"/>
  <c r="K32" i="48"/>
  <c r="Q31" i="48"/>
  <c r="P31" i="48"/>
  <c r="O31" i="48"/>
  <c r="N31" i="48"/>
  <c r="M31" i="48"/>
  <c r="L31" i="48"/>
  <c r="K31" i="48"/>
  <c r="Q30" i="48"/>
  <c r="P30" i="48"/>
  <c r="O30" i="48"/>
  <c r="N30" i="48"/>
  <c r="M30" i="48"/>
  <c r="L30" i="48"/>
  <c r="K30" i="48"/>
  <c r="Q29" i="48"/>
  <c r="P29" i="48"/>
  <c r="O29" i="48"/>
  <c r="N29" i="48"/>
  <c r="M29" i="48"/>
  <c r="L29" i="48"/>
  <c r="K29" i="48"/>
  <c r="Q26" i="48"/>
  <c r="P26" i="48"/>
  <c r="O26" i="48"/>
  <c r="N26" i="48"/>
  <c r="M26" i="48"/>
  <c r="L26" i="48"/>
  <c r="K26" i="48"/>
  <c r="Q25" i="48"/>
  <c r="P25" i="48"/>
  <c r="O25" i="48"/>
  <c r="N25" i="48"/>
  <c r="M25" i="48"/>
  <c r="L25" i="48"/>
  <c r="K25" i="48"/>
  <c r="Q24" i="48"/>
  <c r="P24" i="48"/>
  <c r="O24" i="48"/>
  <c r="N24" i="48"/>
  <c r="M24" i="48"/>
  <c r="L24" i="48"/>
  <c r="K24" i="48"/>
  <c r="Q23" i="48"/>
  <c r="P23" i="48"/>
  <c r="O23" i="48"/>
  <c r="N23" i="48"/>
  <c r="M23" i="48"/>
  <c r="L23" i="48"/>
  <c r="K23" i="48"/>
  <c r="Q22" i="48"/>
  <c r="P22" i="48"/>
  <c r="O22" i="48"/>
  <c r="N22" i="48"/>
  <c r="M22" i="48"/>
  <c r="L22" i="48"/>
  <c r="K22" i="48"/>
  <c r="Q21" i="48"/>
  <c r="P21" i="48"/>
  <c r="O21" i="48"/>
  <c r="N21" i="48"/>
  <c r="M21" i="48"/>
  <c r="L21" i="48"/>
  <c r="K21" i="48"/>
  <c r="Q20" i="48"/>
  <c r="P20" i="48"/>
  <c r="O20" i="48"/>
  <c r="N20" i="48"/>
  <c r="M20" i="48"/>
  <c r="L20" i="48"/>
  <c r="K20" i="48"/>
  <c r="Q19" i="48"/>
  <c r="P19" i="48"/>
  <c r="O19" i="48"/>
  <c r="N19" i="48"/>
  <c r="M19" i="48"/>
  <c r="L19" i="48"/>
  <c r="K19" i="48"/>
  <c r="Q18" i="48"/>
  <c r="P18" i="48"/>
  <c r="O18" i="48"/>
  <c r="N18" i="48"/>
  <c r="M18" i="48"/>
  <c r="L18" i="48"/>
  <c r="K18" i="48"/>
  <c r="Q16" i="48"/>
  <c r="P16" i="48"/>
  <c r="O16" i="48"/>
  <c r="N16" i="48"/>
  <c r="M16" i="48"/>
  <c r="L16" i="48"/>
  <c r="K16" i="48"/>
  <c r="Q13" i="48"/>
  <c r="P13" i="48"/>
  <c r="O13" i="48"/>
  <c r="N13" i="48"/>
  <c r="M13" i="48"/>
  <c r="L13" i="48"/>
  <c r="K13" i="48"/>
  <c r="Q12" i="48"/>
  <c r="P12" i="48"/>
  <c r="O12" i="48"/>
  <c r="N12" i="48"/>
  <c r="M12" i="48"/>
  <c r="L12" i="48"/>
  <c r="K12" i="48"/>
  <c r="Q11" i="48"/>
  <c r="P11" i="48"/>
  <c r="O11" i="48"/>
  <c r="N11" i="48"/>
  <c r="M11" i="48"/>
  <c r="L11" i="48"/>
  <c r="K11" i="48"/>
  <c r="Q10" i="48"/>
  <c r="P10" i="48"/>
  <c r="O10" i="48"/>
  <c r="N10" i="48"/>
  <c r="M10" i="48"/>
  <c r="L10" i="48"/>
  <c r="K10" i="48"/>
  <c r="Q9" i="48"/>
  <c r="P9" i="48"/>
  <c r="O9" i="48"/>
  <c r="N9" i="48"/>
  <c r="M9" i="48"/>
  <c r="L9" i="48"/>
  <c r="K9" i="48"/>
  <c r="Q8" i="48"/>
  <c r="P8" i="48"/>
  <c r="O8" i="48"/>
  <c r="N8" i="48"/>
  <c r="M8" i="48"/>
  <c r="L8" i="48"/>
  <c r="K8" i="48"/>
  <c r="Q7" i="48"/>
  <c r="P7" i="48"/>
  <c r="O7" i="48"/>
  <c r="N7" i="48"/>
  <c r="M7" i="48"/>
  <c r="L7" i="48"/>
  <c r="K7" i="48"/>
  <c r="Q6" i="48"/>
  <c r="P6" i="48"/>
  <c r="O6" i="48"/>
  <c r="N6" i="48"/>
  <c r="M6" i="48"/>
  <c r="L6" i="48"/>
  <c r="K6" i="48"/>
  <c r="Q5" i="48"/>
  <c r="Q35" i="48" s="1"/>
  <c r="Q3" i="48" s="1"/>
  <c r="P5" i="48"/>
  <c r="P35" i="48" s="1"/>
  <c r="P3" i="48" s="1"/>
  <c r="O5" i="48"/>
  <c r="N5" i="48"/>
  <c r="N35" i="48" s="1"/>
  <c r="N3" i="48" s="1"/>
  <c r="M5" i="48"/>
  <c r="L5" i="48"/>
  <c r="K5" i="48"/>
  <c r="Q33" i="47"/>
  <c r="P33" i="47"/>
  <c r="O33" i="47"/>
  <c r="N33" i="47"/>
  <c r="M33" i="47"/>
  <c r="L33" i="47"/>
  <c r="K33" i="47"/>
  <c r="Q32" i="47"/>
  <c r="P32" i="47"/>
  <c r="O32" i="47"/>
  <c r="N32" i="47"/>
  <c r="M32" i="47"/>
  <c r="L32" i="47"/>
  <c r="K32" i="47"/>
  <c r="Q31" i="47"/>
  <c r="P31" i="47"/>
  <c r="O31" i="47"/>
  <c r="N31" i="47"/>
  <c r="M31" i="47"/>
  <c r="L31" i="47"/>
  <c r="K31" i="47"/>
  <c r="Q30" i="47"/>
  <c r="P30" i="47"/>
  <c r="O30" i="47"/>
  <c r="N30" i="47"/>
  <c r="M30" i="47"/>
  <c r="L30" i="47"/>
  <c r="K30" i="47"/>
  <c r="Q29" i="47"/>
  <c r="P29" i="47"/>
  <c r="O29" i="47"/>
  <c r="N29" i="47"/>
  <c r="M29" i="47"/>
  <c r="L29" i="47"/>
  <c r="K29" i="47"/>
  <c r="Q26" i="47"/>
  <c r="P26" i="47"/>
  <c r="O26" i="47"/>
  <c r="N26" i="47"/>
  <c r="M26" i="47"/>
  <c r="L26" i="47"/>
  <c r="K26" i="47"/>
  <c r="Q25" i="47"/>
  <c r="P25" i="47"/>
  <c r="O25" i="47"/>
  <c r="N25" i="47"/>
  <c r="M25" i="47"/>
  <c r="L25" i="47"/>
  <c r="K25" i="47"/>
  <c r="Q24" i="47"/>
  <c r="P24" i="47"/>
  <c r="O24" i="47"/>
  <c r="N24" i="47"/>
  <c r="M24" i="47"/>
  <c r="L24" i="47"/>
  <c r="K24" i="47"/>
  <c r="Q23" i="47"/>
  <c r="P23" i="47"/>
  <c r="O23" i="47"/>
  <c r="N23" i="47"/>
  <c r="M23" i="47"/>
  <c r="L23" i="47"/>
  <c r="K23" i="47"/>
  <c r="Q22" i="47"/>
  <c r="P22" i="47"/>
  <c r="O22" i="47"/>
  <c r="N22" i="47"/>
  <c r="M22" i="47"/>
  <c r="L22" i="47"/>
  <c r="K22" i="47"/>
  <c r="Q21" i="47"/>
  <c r="P21" i="47"/>
  <c r="O21" i="47"/>
  <c r="N21" i="47"/>
  <c r="M21" i="47"/>
  <c r="L21" i="47"/>
  <c r="K21" i="47"/>
  <c r="Q20" i="47"/>
  <c r="P20" i="47"/>
  <c r="O20" i="47"/>
  <c r="N20" i="47"/>
  <c r="M20" i="47"/>
  <c r="L20" i="47"/>
  <c r="K20" i="47"/>
  <c r="Q19" i="47"/>
  <c r="P19" i="47"/>
  <c r="O19" i="47"/>
  <c r="N19" i="47"/>
  <c r="M19" i="47"/>
  <c r="L19" i="47"/>
  <c r="K19" i="47"/>
  <c r="Q18" i="47"/>
  <c r="P18" i="47"/>
  <c r="O18" i="47"/>
  <c r="N18" i="47"/>
  <c r="M18" i="47"/>
  <c r="L18" i="47"/>
  <c r="K18" i="47"/>
  <c r="Q16" i="47"/>
  <c r="P16" i="47"/>
  <c r="O16" i="47"/>
  <c r="N16" i="47"/>
  <c r="M16" i="47"/>
  <c r="L16" i="47"/>
  <c r="K16" i="47"/>
  <c r="Q13" i="47"/>
  <c r="P13" i="47"/>
  <c r="O13" i="47"/>
  <c r="N13" i="47"/>
  <c r="M13" i="47"/>
  <c r="L13" i="47"/>
  <c r="K13" i="47"/>
  <c r="Q12" i="47"/>
  <c r="P12" i="47"/>
  <c r="O12" i="47"/>
  <c r="N12" i="47"/>
  <c r="M12" i="47"/>
  <c r="L12" i="47"/>
  <c r="K12" i="47"/>
  <c r="Q11" i="47"/>
  <c r="P11" i="47"/>
  <c r="O11" i="47"/>
  <c r="N11" i="47"/>
  <c r="M11" i="47"/>
  <c r="L11" i="47"/>
  <c r="K11" i="47"/>
  <c r="Q10" i="47"/>
  <c r="P10" i="47"/>
  <c r="O10" i="47"/>
  <c r="N10" i="47"/>
  <c r="M10" i="47"/>
  <c r="L10" i="47"/>
  <c r="K10" i="47"/>
  <c r="Q9" i="47"/>
  <c r="P9" i="47"/>
  <c r="O9" i="47"/>
  <c r="N9" i="47"/>
  <c r="M9" i="47"/>
  <c r="L9" i="47"/>
  <c r="K9" i="47"/>
  <c r="Q8" i="47"/>
  <c r="P8" i="47"/>
  <c r="O8" i="47"/>
  <c r="N8" i="47"/>
  <c r="M8" i="47"/>
  <c r="L8" i="47"/>
  <c r="K8" i="47"/>
  <c r="Q7" i="47"/>
  <c r="P7" i="47"/>
  <c r="O7" i="47"/>
  <c r="N7" i="47"/>
  <c r="M7" i="47"/>
  <c r="L7" i="47"/>
  <c r="K7" i="47"/>
  <c r="Q6" i="47"/>
  <c r="P6" i="47"/>
  <c r="O6" i="47"/>
  <c r="N6" i="47"/>
  <c r="M6" i="47"/>
  <c r="L6" i="47"/>
  <c r="K6" i="47"/>
  <c r="Q5" i="47"/>
  <c r="Q35" i="47" s="1"/>
  <c r="Q3" i="47" s="1"/>
  <c r="P5" i="47"/>
  <c r="P35" i="47" s="1"/>
  <c r="P3" i="47" s="1"/>
  <c r="O5" i="47"/>
  <c r="O35" i="47" s="1"/>
  <c r="O3" i="47" s="1"/>
  <c r="N5" i="47"/>
  <c r="N35" i="47" s="1"/>
  <c r="N3" i="47" s="1"/>
  <c r="M5" i="47"/>
  <c r="L5" i="47"/>
  <c r="L35" i="47" s="1"/>
  <c r="L3" i="47" s="1"/>
  <c r="K5" i="47"/>
  <c r="K35" i="47" s="1"/>
  <c r="K3" i="47" s="1"/>
  <c r="Q33" i="46"/>
  <c r="P33" i="46"/>
  <c r="O33" i="46"/>
  <c r="N33" i="46"/>
  <c r="M33" i="46"/>
  <c r="L33" i="46"/>
  <c r="K33" i="46"/>
  <c r="Q32" i="46"/>
  <c r="P32" i="46"/>
  <c r="O32" i="46"/>
  <c r="N32" i="46"/>
  <c r="M32" i="46"/>
  <c r="L32" i="46"/>
  <c r="K32" i="46"/>
  <c r="Q31" i="46"/>
  <c r="P31" i="46"/>
  <c r="O31" i="46"/>
  <c r="N31" i="46"/>
  <c r="M31" i="46"/>
  <c r="L31" i="46"/>
  <c r="K31" i="46"/>
  <c r="Q30" i="46"/>
  <c r="P30" i="46"/>
  <c r="O30" i="46"/>
  <c r="N30" i="46"/>
  <c r="M30" i="46"/>
  <c r="L30" i="46"/>
  <c r="K30" i="46"/>
  <c r="Q29" i="46"/>
  <c r="P29" i="46"/>
  <c r="O29" i="46"/>
  <c r="N29" i="46"/>
  <c r="M29" i="46"/>
  <c r="L29" i="46"/>
  <c r="K29" i="46"/>
  <c r="Q26" i="46"/>
  <c r="P26" i="46"/>
  <c r="O26" i="46"/>
  <c r="N26" i="46"/>
  <c r="M26" i="46"/>
  <c r="L26" i="46"/>
  <c r="K26" i="46"/>
  <c r="Q25" i="46"/>
  <c r="P25" i="46"/>
  <c r="O25" i="46"/>
  <c r="N25" i="46"/>
  <c r="M25" i="46"/>
  <c r="L25" i="46"/>
  <c r="K25" i="46"/>
  <c r="Q24" i="46"/>
  <c r="P24" i="46"/>
  <c r="O24" i="46"/>
  <c r="N24" i="46"/>
  <c r="M24" i="46"/>
  <c r="L24" i="46"/>
  <c r="K24" i="46"/>
  <c r="Q23" i="46"/>
  <c r="P23" i="46"/>
  <c r="O23" i="46"/>
  <c r="N23" i="46"/>
  <c r="M23" i="46"/>
  <c r="L23" i="46"/>
  <c r="K23" i="46"/>
  <c r="Q22" i="46"/>
  <c r="P22" i="46"/>
  <c r="O22" i="46"/>
  <c r="N22" i="46"/>
  <c r="M22" i="46"/>
  <c r="L22" i="46"/>
  <c r="K22" i="46"/>
  <c r="Q21" i="46"/>
  <c r="P21" i="46"/>
  <c r="O21" i="46"/>
  <c r="N21" i="46"/>
  <c r="M21" i="46"/>
  <c r="L21" i="46"/>
  <c r="K21" i="46"/>
  <c r="Q20" i="46"/>
  <c r="P20" i="46"/>
  <c r="O20" i="46"/>
  <c r="N20" i="46"/>
  <c r="M20" i="46"/>
  <c r="L20" i="46"/>
  <c r="K20" i="46"/>
  <c r="Q19" i="46"/>
  <c r="P19" i="46"/>
  <c r="O19" i="46"/>
  <c r="N19" i="46"/>
  <c r="M19" i="46"/>
  <c r="L19" i="46"/>
  <c r="K19" i="46"/>
  <c r="Q18" i="46"/>
  <c r="P18" i="46"/>
  <c r="O18" i="46"/>
  <c r="N18" i="46"/>
  <c r="M18" i="46"/>
  <c r="L18" i="46"/>
  <c r="K18" i="46"/>
  <c r="Q16" i="46"/>
  <c r="P16" i="46"/>
  <c r="O16" i="46"/>
  <c r="N16" i="46"/>
  <c r="M16" i="46"/>
  <c r="L16" i="46"/>
  <c r="K16" i="46"/>
  <c r="Q13" i="46"/>
  <c r="P13" i="46"/>
  <c r="O13" i="46"/>
  <c r="N13" i="46"/>
  <c r="M13" i="46"/>
  <c r="L13" i="46"/>
  <c r="K13" i="46"/>
  <c r="Q12" i="46"/>
  <c r="P12" i="46"/>
  <c r="O12" i="46"/>
  <c r="N12" i="46"/>
  <c r="M12" i="46"/>
  <c r="L12" i="46"/>
  <c r="K12" i="46"/>
  <c r="Q11" i="46"/>
  <c r="P11" i="46"/>
  <c r="O11" i="46"/>
  <c r="N11" i="46"/>
  <c r="M11" i="46"/>
  <c r="L11" i="46"/>
  <c r="K11" i="46"/>
  <c r="Q10" i="46"/>
  <c r="P10" i="46"/>
  <c r="O10" i="46"/>
  <c r="N10" i="46"/>
  <c r="M10" i="46"/>
  <c r="L10" i="46"/>
  <c r="K10" i="46"/>
  <c r="Q9" i="46"/>
  <c r="P9" i="46"/>
  <c r="O9" i="46"/>
  <c r="N9" i="46"/>
  <c r="M9" i="46"/>
  <c r="K9" i="46"/>
  <c r="Q8" i="46"/>
  <c r="P8" i="46"/>
  <c r="O8" i="46"/>
  <c r="N8" i="46"/>
  <c r="M8" i="46"/>
  <c r="L8" i="46"/>
  <c r="K8" i="46"/>
  <c r="Q7" i="46"/>
  <c r="P7" i="46"/>
  <c r="O7" i="46"/>
  <c r="N7" i="46"/>
  <c r="M7" i="46"/>
  <c r="L7" i="46"/>
  <c r="K7" i="46"/>
  <c r="Q6" i="46"/>
  <c r="P6" i="46"/>
  <c r="O6" i="46"/>
  <c r="N6" i="46"/>
  <c r="M6" i="46"/>
  <c r="L6" i="46"/>
  <c r="K6" i="46"/>
  <c r="Q5" i="46"/>
  <c r="P5" i="46"/>
  <c r="O5" i="46"/>
  <c r="N5" i="46"/>
  <c r="M5" i="46"/>
  <c r="L5" i="46"/>
  <c r="K5" i="46"/>
  <c r="Q33" i="45"/>
  <c r="P33" i="45"/>
  <c r="O33" i="45"/>
  <c r="N33" i="45"/>
  <c r="M33" i="45"/>
  <c r="L33" i="45"/>
  <c r="K33" i="45"/>
  <c r="Q32" i="45"/>
  <c r="P32" i="45"/>
  <c r="O32" i="45"/>
  <c r="N32" i="45"/>
  <c r="M32" i="45"/>
  <c r="L32" i="45"/>
  <c r="K32" i="45"/>
  <c r="Q31" i="45"/>
  <c r="P31" i="45"/>
  <c r="O31" i="45"/>
  <c r="N31" i="45"/>
  <c r="M31" i="45"/>
  <c r="L31" i="45"/>
  <c r="K31" i="45"/>
  <c r="Q30" i="45"/>
  <c r="P30" i="45"/>
  <c r="O30" i="45"/>
  <c r="N30" i="45"/>
  <c r="M30" i="45"/>
  <c r="L30" i="45"/>
  <c r="K30" i="45"/>
  <c r="Q29" i="45"/>
  <c r="P29" i="45"/>
  <c r="O29" i="45"/>
  <c r="N29" i="45"/>
  <c r="M29" i="45"/>
  <c r="L29" i="45"/>
  <c r="K29" i="45"/>
  <c r="Q26" i="45"/>
  <c r="P26" i="45"/>
  <c r="O26" i="45"/>
  <c r="N26" i="45"/>
  <c r="M26" i="45"/>
  <c r="L26" i="45"/>
  <c r="K26" i="45"/>
  <c r="Q25" i="45"/>
  <c r="P25" i="45"/>
  <c r="O25" i="45"/>
  <c r="N25" i="45"/>
  <c r="M25" i="45"/>
  <c r="L25" i="45"/>
  <c r="K25" i="45"/>
  <c r="Q24" i="45"/>
  <c r="P24" i="45"/>
  <c r="O24" i="45"/>
  <c r="N24" i="45"/>
  <c r="M24" i="45"/>
  <c r="L24" i="45"/>
  <c r="K24" i="45"/>
  <c r="Q23" i="45"/>
  <c r="P23" i="45"/>
  <c r="O23" i="45"/>
  <c r="N23" i="45"/>
  <c r="M23" i="45"/>
  <c r="L23" i="45"/>
  <c r="K23" i="45"/>
  <c r="Q22" i="45"/>
  <c r="P22" i="45"/>
  <c r="O22" i="45"/>
  <c r="N22" i="45"/>
  <c r="M22" i="45"/>
  <c r="L22" i="45"/>
  <c r="K22" i="45"/>
  <c r="Q21" i="45"/>
  <c r="P21" i="45"/>
  <c r="O21" i="45"/>
  <c r="N21" i="45"/>
  <c r="M21" i="45"/>
  <c r="L21" i="45"/>
  <c r="K21" i="45"/>
  <c r="Q20" i="45"/>
  <c r="P20" i="45"/>
  <c r="O20" i="45"/>
  <c r="N20" i="45"/>
  <c r="M20" i="45"/>
  <c r="L20" i="45"/>
  <c r="K20" i="45"/>
  <c r="Q19" i="45"/>
  <c r="P19" i="45"/>
  <c r="O19" i="45"/>
  <c r="N19" i="45"/>
  <c r="M19" i="45"/>
  <c r="L19" i="45"/>
  <c r="K19" i="45"/>
  <c r="Q18" i="45"/>
  <c r="P18" i="45"/>
  <c r="O18" i="45"/>
  <c r="N18" i="45"/>
  <c r="M18" i="45"/>
  <c r="L18" i="45"/>
  <c r="K18" i="45"/>
  <c r="Q16" i="45"/>
  <c r="P16" i="45"/>
  <c r="O16" i="45"/>
  <c r="N16" i="45"/>
  <c r="M16" i="45"/>
  <c r="L16" i="45"/>
  <c r="K16" i="45"/>
  <c r="Q13" i="45"/>
  <c r="P13" i="45"/>
  <c r="O13" i="45"/>
  <c r="N13" i="45"/>
  <c r="M13" i="45"/>
  <c r="L13" i="45"/>
  <c r="K13" i="45"/>
  <c r="Q12" i="45"/>
  <c r="P12" i="45"/>
  <c r="O12" i="45"/>
  <c r="N12" i="45"/>
  <c r="M12" i="45"/>
  <c r="L12" i="45"/>
  <c r="K12" i="45"/>
  <c r="Q11" i="45"/>
  <c r="P11" i="45"/>
  <c r="O11" i="45"/>
  <c r="N11" i="45"/>
  <c r="M11" i="45"/>
  <c r="L11" i="45"/>
  <c r="K11" i="45"/>
  <c r="Q10" i="45"/>
  <c r="P10" i="45"/>
  <c r="O10" i="45"/>
  <c r="N10" i="45"/>
  <c r="M10" i="45"/>
  <c r="L10" i="45"/>
  <c r="K10" i="45"/>
  <c r="Q9" i="45"/>
  <c r="P9" i="45"/>
  <c r="O9" i="45"/>
  <c r="N9" i="45"/>
  <c r="M9" i="45"/>
  <c r="L9" i="45"/>
  <c r="K9" i="45"/>
  <c r="Q8" i="45"/>
  <c r="P8" i="45"/>
  <c r="O8" i="45"/>
  <c r="N8" i="45"/>
  <c r="M8" i="45"/>
  <c r="L8" i="45"/>
  <c r="K8" i="45"/>
  <c r="Q7" i="45"/>
  <c r="P7" i="45"/>
  <c r="O7" i="45"/>
  <c r="N7" i="45"/>
  <c r="M7" i="45"/>
  <c r="L7" i="45"/>
  <c r="K7" i="45"/>
  <c r="Q6" i="45"/>
  <c r="P6" i="45"/>
  <c r="O6" i="45"/>
  <c r="N6" i="45"/>
  <c r="M6" i="45"/>
  <c r="L6" i="45"/>
  <c r="K6" i="45"/>
  <c r="Q5" i="45"/>
  <c r="P5" i="45"/>
  <c r="O5" i="45"/>
  <c r="N5" i="45"/>
  <c r="M5" i="45"/>
  <c r="L5" i="45"/>
  <c r="K5" i="45"/>
  <c r="Q33" i="44"/>
  <c r="P33" i="44"/>
  <c r="O33" i="44"/>
  <c r="N33" i="44"/>
  <c r="M33" i="44"/>
  <c r="L33" i="44"/>
  <c r="K33" i="44"/>
  <c r="Q32" i="44"/>
  <c r="P32" i="44"/>
  <c r="O32" i="44"/>
  <c r="N32" i="44"/>
  <c r="M32" i="44"/>
  <c r="L32" i="44"/>
  <c r="K32" i="44"/>
  <c r="Q31" i="44"/>
  <c r="P31" i="44"/>
  <c r="O31" i="44"/>
  <c r="N31" i="44"/>
  <c r="M31" i="44"/>
  <c r="L31" i="44"/>
  <c r="K31" i="44"/>
  <c r="Q30" i="44"/>
  <c r="P30" i="44"/>
  <c r="O30" i="44"/>
  <c r="N30" i="44"/>
  <c r="M30" i="44"/>
  <c r="L30" i="44"/>
  <c r="K30" i="44"/>
  <c r="Q29" i="44"/>
  <c r="P29" i="44"/>
  <c r="O29" i="44"/>
  <c r="N29" i="44"/>
  <c r="M29" i="44"/>
  <c r="L29" i="44"/>
  <c r="K29" i="44"/>
  <c r="Q26" i="44"/>
  <c r="P26" i="44"/>
  <c r="O26" i="44"/>
  <c r="N26" i="44"/>
  <c r="M26" i="44"/>
  <c r="L26" i="44"/>
  <c r="K26" i="44"/>
  <c r="Q25" i="44"/>
  <c r="P25" i="44"/>
  <c r="O25" i="44"/>
  <c r="N25" i="44"/>
  <c r="M25" i="44"/>
  <c r="L25" i="44"/>
  <c r="K25" i="44"/>
  <c r="Q24" i="44"/>
  <c r="P24" i="44"/>
  <c r="O24" i="44"/>
  <c r="N24" i="44"/>
  <c r="M24" i="44"/>
  <c r="L24" i="44"/>
  <c r="K24" i="44"/>
  <c r="Q23" i="44"/>
  <c r="P23" i="44"/>
  <c r="O23" i="44"/>
  <c r="N23" i="44"/>
  <c r="M23" i="44"/>
  <c r="L23" i="44"/>
  <c r="K23" i="44"/>
  <c r="Q22" i="44"/>
  <c r="P22" i="44"/>
  <c r="O22" i="44"/>
  <c r="N22" i="44"/>
  <c r="M22" i="44"/>
  <c r="L22" i="44"/>
  <c r="K22" i="44"/>
  <c r="Q21" i="44"/>
  <c r="P21" i="44"/>
  <c r="O21" i="44"/>
  <c r="N21" i="44"/>
  <c r="M21" i="44"/>
  <c r="L21" i="44"/>
  <c r="K21" i="44"/>
  <c r="Q20" i="44"/>
  <c r="P20" i="44"/>
  <c r="O20" i="44"/>
  <c r="N20" i="44"/>
  <c r="M20" i="44"/>
  <c r="L20" i="44"/>
  <c r="K20" i="44"/>
  <c r="Q19" i="44"/>
  <c r="P19" i="44"/>
  <c r="O19" i="44"/>
  <c r="N19" i="44"/>
  <c r="M19" i="44"/>
  <c r="L19" i="44"/>
  <c r="K19" i="44"/>
  <c r="Q18" i="44"/>
  <c r="P18" i="44"/>
  <c r="O18" i="44"/>
  <c r="N18" i="44"/>
  <c r="M18" i="44"/>
  <c r="L18" i="44"/>
  <c r="K18" i="44"/>
  <c r="Q16" i="44"/>
  <c r="P16" i="44"/>
  <c r="O16" i="44"/>
  <c r="N16" i="44"/>
  <c r="M16" i="44"/>
  <c r="L16" i="44"/>
  <c r="K16" i="44"/>
  <c r="Q13" i="44"/>
  <c r="P13" i="44"/>
  <c r="O13" i="44"/>
  <c r="N13" i="44"/>
  <c r="M13" i="44"/>
  <c r="L13" i="44"/>
  <c r="K13" i="44"/>
  <c r="Q12" i="44"/>
  <c r="P12" i="44"/>
  <c r="O12" i="44"/>
  <c r="N12" i="44"/>
  <c r="M12" i="44"/>
  <c r="L12" i="44"/>
  <c r="K12" i="44"/>
  <c r="Q11" i="44"/>
  <c r="P11" i="44"/>
  <c r="O11" i="44"/>
  <c r="N11" i="44"/>
  <c r="M11" i="44"/>
  <c r="L11" i="44"/>
  <c r="K11" i="44"/>
  <c r="Q10" i="44"/>
  <c r="P10" i="44"/>
  <c r="O10" i="44"/>
  <c r="N10" i="44"/>
  <c r="M10" i="44"/>
  <c r="L10" i="44"/>
  <c r="K10" i="44"/>
  <c r="Q9" i="44"/>
  <c r="P9" i="44"/>
  <c r="O9" i="44"/>
  <c r="N9" i="44"/>
  <c r="M9" i="44"/>
  <c r="L9" i="44"/>
  <c r="K9" i="44"/>
  <c r="Q8" i="44"/>
  <c r="P8" i="44"/>
  <c r="O8" i="44"/>
  <c r="N8" i="44"/>
  <c r="M8" i="44"/>
  <c r="L8" i="44"/>
  <c r="K8" i="44"/>
  <c r="Q7" i="44"/>
  <c r="P7" i="44"/>
  <c r="O7" i="44"/>
  <c r="N7" i="44"/>
  <c r="M7" i="44"/>
  <c r="L7" i="44"/>
  <c r="K7" i="44"/>
  <c r="Q6" i="44"/>
  <c r="P6" i="44"/>
  <c r="O6" i="44"/>
  <c r="N6" i="44"/>
  <c r="M6" i="44"/>
  <c r="L6" i="44"/>
  <c r="K6" i="44"/>
  <c r="Q5" i="44"/>
  <c r="P5" i="44"/>
  <c r="O5" i="44"/>
  <c r="N5" i="44"/>
  <c r="M5" i="44"/>
  <c r="L5" i="44"/>
  <c r="K5" i="44"/>
  <c r="Q33" i="42"/>
  <c r="P33" i="42"/>
  <c r="O33" i="42"/>
  <c r="N33" i="42"/>
  <c r="M33" i="42"/>
  <c r="L33" i="42"/>
  <c r="K33" i="42"/>
  <c r="Q32" i="42"/>
  <c r="P32" i="42"/>
  <c r="O32" i="42"/>
  <c r="N32" i="42"/>
  <c r="M32" i="42"/>
  <c r="L32" i="42"/>
  <c r="K32" i="42"/>
  <c r="Q31" i="42"/>
  <c r="P31" i="42"/>
  <c r="O31" i="42"/>
  <c r="N31" i="42"/>
  <c r="M31" i="42"/>
  <c r="L31" i="42"/>
  <c r="K31" i="42"/>
  <c r="Q30" i="42"/>
  <c r="P30" i="42"/>
  <c r="O30" i="42"/>
  <c r="N30" i="42"/>
  <c r="M30" i="42"/>
  <c r="L30" i="42"/>
  <c r="K30" i="42"/>
  <c r="Q29" i="42"/>
  <c r="P29" i="42"/>
  <c r="O29" i="42"/>
  <c r="N29" i="42"/>
  <c r="M29" i="42"/>
  <c r="L29" i="42"/>
  <c r="K29" i="42"/>
  <c r="Q26" i="42"/>
  <c r="P26" i="42"/>
  <c r="O26" i="42"/>
  <c r="N26" i="42"/>
  <c r="M26" i="42"/>
  <c r="L26" i="42"/>
  <c r="K26" i="42"/>
  <c r="Q25" i="42"/>
  <c r="P25" i="42"/>
  <c r="O25" i="42"/>
  <c r="N25" i="42"/>
  <c r="M25" i="42"/>
  <c r="L25" i="42"/>
  <c r="K25" i="42"/>
  <c r="Q24" i="42"/>
  <c r="P24" i="42"/>
  <c r="O24" i="42"/>
  <c r="N24" i="42"/>
  <c r="M24" i="42"/>
  <c r="L24" i="42"/>
  <c r="K24" i="42"/>
  <c r="Q23" i="42"/>
  <c r="P23" i="42"/>
  <c r="O23" i="42"/>
  <c r="N23" i="42"/>
  <c r="M23" i="42"/>
  <c r="L23" i="42"/>
  <c r="K23" i="42"/>
  <c r="Q22" i="42"/>
  <c r="P22" i="42"/>
  <c r="O22" i="42"/>
  <c r="N22" i="42"/>
  <c r="M22" i="42"/>
  <c r="L22" i="42"/>
  <c r="K22" i="42"/>
  <c r="Q21" i="42"/>
  <c r="P21" i="42"/>
  <c r="O21" i="42"/>
  <c r="N21" i="42"/>
  <c r="M21" i="42"/>
  <c r="L21" i="42"/>
  <c r="K21" i="42"/>
  <c r="Q20" i="42"/>
  <c r="P20" i="42"/>
  <c r="O20" i="42"/>
  <c r="N20" i="42"/>
  <c r="M20" i="42"/>
  <c r="L20" i="42"/>
  <c r="K20" i="42"/>
  <c r="Q19" i="42"/>
  <c r="P19" i="42"/>
  <c r="O19" i="42"/>
  <c r="N19" i="42"/>
  <c r="M19" i="42"/>
  <c r="L19" i="42"/>
  <c r="K19" i="42"/>
  <c r="Q18" i="42"/>
  <c r="P18" i="42"/>
  <c r="O18" i="42"/>
  <c r="N18" i="42"/>
  <c r="M18" i="42"/>
  <c r="L18" i="42"/>
  <c r="K18" i="42"/>
  <c r="Q16" i="42"/>
  <c r="P16" i="42"/>
  <c r="O16" i="42"/>
  <c r="N16" i="42"/>
  <c r="M16" i="42"/>
  <c r="L16" i="42"/>
  <c r="K16" i="42"/>
  <c r="Q13" i="42"/>
  <c r="P13" i="42"/>
  <c r="O13" i="42"/>
  <c r="N13" i="42"/>
  <c r="M13" i="42"/>
  <c r="L13" i="42"/>
  <c r="K13" i="42"/>
  <c r="Q12" i="42"/>
  <c r="P12" i="42"/>
  <c r="O12" i="42"/>
  <c r="N12" i="42"/>
  <c r="M12" i="42"/>
  <c r="L12" i="42"/>
  <c r="K12" i="42"/>
  <c r="Q11" i="42"/>
  <c r="P11" i="42"/>
  <c r="O11" i="42"/>
  <c r="N11" i="42"/>
  <c r="M11" i="42"/>
  <c r="L11" i="42"/>
  <c r="K11" i="42"/>
  <c r="Q10" i="42"/>
  <c r="P10" i="42"/>
  <c r="O10" i="42"/>
  <c r="N10" i="42"/>
  <c r="M10" i="42"/>
  <c r="L10" i="42"/>
  <c r="K10" i="42"/>
  <c r="Q9" i="42"/>
  <c r="P9" i="42"/>
  <c r="O9" i="42"/>
  <c r="N9" i="42"/>
  <c r="M9" i="42"/>
  <c r="L9" i="42"/>
  <c r="K9" i="42"/>
  <c r="Q8" i="42"/>
  <c r="P8" i="42"/>
  <c r="O8" i="42"/>
  <c r="N8" i="42"/>
  <c r="M8" i="42"/>
  <c r="L8" i="42"/>
  <c r="K8" i="42"/>
  <c r="Q7" i="42"/>
  <c r="P7" i="42"/>
  <c r="O7" i="42"/>
  <c r="N7" i="42"/>
  <c r="M7" i="42"/>
  <c r="L7" i="42"/>
  <c r="K7" i="42"/>
  <c r="Q6" i="42"/>
  <c r="P6" i="42"/>
  <c r="O6" i="42"/>
  <c r="N6" i="42"/>
  <c r="M6" i="42"/>
  <c r="L6" i="42"/>
  <c r="K6" i="42"/>
  <c r="Q5" i="42"/>
  <c r="P5" i="42"/>
  <c r="O5" i="42"/>
  <c r="N5" i="42"/>
  <c r="M5" i="42"/>
  <c r="L5" i="42"/>
  <c r="K5" i="42"/>
  <c r="Q33" i="40"/>
  <c r="P33" i="40"/>
  <c r="O33" i="40"/>
  <c r="N33" i="40"/>
  <c r="M33" i="40"/>
  <c r="L33" i="40"/>
  <c r="K33" i="40"/>
  <c r="Q32" i="40"/>
  <c r="P32" i="40"/>
  <c r="O32" i="40"/>
  <c r="N32" i="40"/>
  <c r="M32" i="40"/>
  <c r="L32" i="40"/>
  <c r="K32" i="40"/>
  <c r="Q31" i="40"/>
  <c r="P31" i="40"/>
  <c r="O31" i="40"/>
  <c r="N31" i="40"/>
  <c r="M31" i="40"/>
  <c r="L31" i="40"/>
  <c r="K31" i="40"/>
  <c r="Q30" i="40"/>
  <c r="P30" i="40"/>
  <c r="O30" i="40"/>
  <c r="N30" i="40"/>
  <c r="M30" i="40"/>
  <c r="L30" i="40"/>
  <c r="K30" i="40"/>
  <c r="Q29" i="40"/>
  <c r="P29" i="40"/>
  <c r="O29" i="40"/>
  <c r="N29" i="40"/>
  <c r="M29" i="40"/>
  <c r="L29" i="40"/>
  <c r="K29" i="40"/>
  <c r="Q26" i="40"/>
  <c r="P26" i="40"/>
  <c r="O26" i="40"/>
  <c r="N26" i="40"/>
  <c r="M26" i="40"/>
  <c r="L26" i="40"/>
  <c r="K26" i="40"/>
  <c r="Q25" i="40"/>
  <c r="P25" i="40"/>
  <c r="O25" i="40"/>
  <c r="N25" i="40"/>
  <c r="M25" i="40"/>
  <c r="L25" i="40"/>
  <c r="K25" i="40"/>
  <c r="Q24" i="40"/>
  <c r="P24" i="40"/>
  <c r="O24" i="40"/>
  <c r="N24" i="40"/>
  <c r="M24" i="40"/>
  <c r="L24" i="40"/>
  <c r="K24" i="40"/>
  <c r="Q23" i="40"/>
  <c r="P23" i="40"/>
  <c r="O23" i="40"/>
  <c r="N23" i="40"/>
  <c r="M23" i="40"/>
  <c r="L23" i="40"/>
  <c r="K23" i="40"/>
  <c r="Q22" i="40"/>
  <c r="P22" i="40"/>
  <c r="O22" i="40"/>
  <c r="N22" i="40"/>
  <c r="M22" i="40"/>
  <c r="L22" i="40"/>
  <c r="K22" i="40"/>
  <c r="Q21" i="40"/>
  <c r="P21" i="40"/>
  <c r="O21" i="40"/>
  <c r="N21" i="40"/>
  <c r="M21" i="40"/>
  <c r="L21" i="40"/>
  <c r="K21" i="40"/>
  <c r="Q20" i="40"/>
  <c r="P20" i="40"/>
  <c r="O20" i="40"/>
  <c r="N20" i="40"/>
  <c r="M20" i="40"/>
  <c r="L20" i="40"/>
  <c r="K20" i="40"/>
  <c r="Q19" i="40"/>
  <c r="P19" i="40"/>
  <c r="O19" i="40"/>
  <c r="N19" i="40"/>
  <c r="M19" i="40"/>
  <c r="L19" i="40"/>
  <c r="K19" i="40"/>
  <c r="Q18" i="40"/>
  <c r="P18" i="40"/>
  <c r="O18" i="40"/>
  <c r="N18" i="40"/>
  <c r="M18" i="40"/>
  <c r="L18" i="40"/>
  <c r="K18" i="40"/>
  <c r="Q16" i="40"/>
  <c r="P16" i="40"/>
  <c r="O16" i="40"/>
  <c r="N16" i="40"/>
  <c r="M16" i="40"/>
  <c r="L16" i="40"/>
  <c r="K16" i="40"/>
  <c r="Q13" i="40"/>
  <c r="P13" i="40"/>
  <c r="O13" i="40"/>
  <c r="N13" i="40"/>
  <c r="M13" i="40"/>
  <c r="L13" i="40"/>
  <c r="K13" i="40"/>
  <c r="Q12" i="40"/>
  <c r="P12" i="40"/>
  <c r="O12" i="40"/>
  <c r="N12" i="40"/>
  <c r="M12" i="40"/>
  <c r="L12" i="40"/>
  <c r="K12" i="40"/>
  <c r="Q11" i="40"/>
  <c r="P11" i="40"/>
  <c r="O11" i="40"/>
  <c r="N11" i="40"/>
  <c r="M11" i="40"/>
  <c r="L11" i="40"/>
  <c r="K11" i="40"/>
  <c r="Q10" i="40"/>
  <c r="P10" i="40"/>
  <c r="O10" i="40"/>
  <c r="N10" i="40"/>
  <c r="M10" i="40"/>
  <c r="L10" i="40"/>
  <c r="K10" i="40"/>
  <c r="Q9" i="40"/>
  <c r="P9" i="40"/>
  <c r="O9" i="40"/>
  <c r="N9" i="40"/>
  <c r="M9" i="40"/>
  <c r="L9" i="40"/>
  <c r="K9" i="40"/>
  <c r="Q8" i="40"/>
  <c r="P8" i="40"/>
  <c r="O8" i="40"/>
  <c r="N8" i="40"/>
  <c r="M8" i="40"/>
  <c r="L8" i="40"/>
  <c r="K8" i="40"/>
  <c r="Q7" i="40"/>
  <c r="P7" i="40"/>
  <c r="O7" i="40"/>
  <c r="N7" i="40"/>
  <c r="M7" i="40"/>
  <c r="L7" i="40"/>
  <c r="K7" i="40"/>
  <c r="Q6" i="40"/>
  <c r="P6" i="40"/>
  <c r="O6" i="40"/>
  <c r="N6" i="40"/>
  <c r="M6" i="40"/>
  <c r="L6" i="40"/>
  <c r="K6" i="40"/>
  <c r="Q5" i="40"/>
  <c r="P5" i="40"/>
  <c r="O5" i="40"/>
  <c r="N5" i="40"/>
  <c r="M5" i="40"/>
  <c r="L5" i="40"/>
  <c r="K5" i="40"/>
  <c r="Q33" i="39"/>
  <c r="P33" i="39"/>
  <c r="O33" i="39"/>
  <c r="N33" i="39"/>
  <c r="M33" i="39"/>
  <c r="L33" i="39"/>
  <c r="K33" i="39"/>
  <c r="Q32" i="39"/>
  <c r="P32" i="39"/>
  <c r="O32" i="39"/>
  <c r="N32" i="39"/>
  <c r="M32" i="39"/>
  <c r="L32" i="39"/>
  <c r="K32" i="39"/>
  <c r="Q31" i="39"/>
  <c r="P31" i="39"/>
  <c r="O31" i="39"/>
  <c r="N31" i="39"/>
  <c r="M31" i="39"/>
  <c r="L31" i="39"/>
  <c r="K31" i="39"/>
  <c r="Q30" i="39"/>
  <c r="P30" i="39"/>
  <c r="O30" i="39"/>
  <c r="N30" i="39"/>
  <c r="M30" i="39"/>
  <c r="L30" i="39"/>
  <c r="K30" i="39"/>
  <c r="Q29" i="39"/>
  <c r="P29" i="39"/>
  <c r="O29" i="39"/>
  <c r="N29" i="39"/>
  <c r="M29" i="39"/>
  <c r="L29" i="39"/>
  <c r="K29" i="39"/>
  <c r="Q26" i="39"/>
  <c r="P26" i="39"/>
  <c r="O26" i="39"/>
  <c r="N26" i="39"/>
  <c r="M26" i="39"/>
  <c r="L26" i="39"/>
  <c r="K26" i="39"/>
  <c r="Q25" i="39"/>
  <c r="P25" i="39"/>
  <c r="O25" i="39"/>
  <c r="N25" i="39"/>
  <c r="M25" i="39"/>
  <c r="L25" i="39"/>
  <c r="K25" i="39"/>
  <c r="Q24" i="39"/>
  <c r="P24" i="39"/>
  <c r="O24" i="39"/>
  <c r="N24" i="39"/>
  <c r="M24" i="39"/>
  <c r="L24" i="39"/>
  <c r="K24" i="39"/>
  <c r="Q23" i="39"/>
  <c r="P23" i="39"/>
  <c r="O23" i="39"/>
  <c r="N23" i="39"/>
  <c r="M23" i="39"/>
  <c r="L23" i="39"/>
  <c r="K23" i="39"/>
  <c r="Q22" i="39"/>
  <c r="P22" i="39"/>
  <c r="O22" i="39"/>
  <c r="N22" i="39"/>
  <c r="M22" i="39"/>
  <c r="L22" i="39"/>
  <c r="K22" i="39"/>
  <c r="Q21" i="39"/>
  <c r="P21" i="39"/>
  <c r="O21" i="39"/>
  <c r="N21" i="39"/>
  <c r="M21" i="39"/>
  <c r="L21" i="39"/>
  <c r="K21" i="39"/>
  <c r="Q20" i="39"/>
  <c r="P20" i="39"/>
  <c r="O20" i="39"/>
  <c r="N20" i="39"/>
  <c r="M20" i="39"/>
  <c r="L20" i="39"/>
  <c r="K20" i="39"/>
  <c r="Q19" i="39"/>
  <c r="P19" i="39"/>
  <c r="O19" i="39"/>
  <c r="N19" i="39"/>
  <c r="M19" i="39"/>
  <c r="L19" i="39"/>
  <c r="K19" i="39"/>
  <c r="Q18" i="39"/>
  <c r="P18" i="39"/>
  <c r="O18" i="39"/>
  <c r="N18" i="39"/>
  <c r="M18" i="39"/>
  <c r="L18" i="39"/>
  <c r="K18" i="39"/>
  <c r="Q16" i="39"/>
  <c r="P16" i="39"/>
  <c r="O16" i="39"/>
  <c r="N16" i="39"/>
  <c r="M16" i="39"/>
  <c r="L16" i="39"/>
  <c r="K16" i="39"/>
  <c r="Q13" i="39"/>
  <c r="P13" i="39"/>
  <c r="O13" i="39"/>
  <c r="N13" i="39"/>
  <c r="M13" i="39"/>
  <c r="L13" i="39"/>
  <c r="K13" i="39"/>
  <c r="Q12" i="39"/>
  <c r="P12" i="39"/>
  <c r="O12" i="39"/>
  <c r="N12" i="39"/>
  <c r="M12" i="39"/>
  <c r="L12" i="39"/>
  <c r="K12" i="39"/>
  <c r="Q11" i="39"/>
  <c r="P11" i="39"/>
  <c r="O11" i="39"/>
  <c r="N11" i="39"/>
  <c r="M11" i="39"/>
  <c r="L11" i="39"/>
  <c r="K11" i="39"/>
  <c r="Q10" i="39"/>
  <c r="P10" i="39"/>
  <c r="O10" i="39"/>
  <c r="N10" i="39"/>
  <c r="M10" i="39"/>
  <c r="L10" i="39"/>
  <c r="K10" i="39"/>
  <c r="Q9" i="39"/>
  <c r="P9" i="39"/>
  <c r="O9" i="39"/>
  <c r="N9" i="39"/>
  <c r="M9" i="39"/>
  <c r="L9" i="39"/>
  <c r="K9" i="39"/>
  <c r="Q8" i="39"/>
  <c r="P8" i="39"/>
  <c r="O8" i="39"/>
  <c r="N8" i="39"/>
  <c r="M8" i="39"/>
  <c r="L8" i="39"/>
  <c r="K8" i="39"/>
  <c r="Q7" i="39"/>
  <c r="P7" i="39"/>
  <c r="O7" i="39"/>
  <c r="N7" i="39"/>
  <c r="M7" i="39"/>
  <c r="L7" i="39"/>
  <c r="K7" i="39"/>
  <c r="Q6" i="39"/>
  <c r="P6" i="39"/>
  <c r="O6" i="39"/>
  <c r="N6" i="39"/>
  <c r="M6" i="39"/>
  <c r="L6" i="39"/>
  <c r="K6" i="39"/>
  <c r="Q5" i="39"/>
  <c r="P5" i="39"/>
  <c r="O5" i="39"/>
  <c r="N5" i="39"/>
  <c r="M5" i="39"/>
  <c r="L5" i="39"/>
  <c r="K5" i="39"/>
  <c r="Q33" i="38"/>
  <c r="P33" i="38"/>
  <c r="O33" i="38"/>
  <c r="N33" i="38"/>
  <c r="M33" i="38"/>
  <c r="L33" i="38"/>
  <c r="K33" i="38"/>
  <c r="Q32" i="38"/>
  <c r="P32" i="38"/>
  <c r="O32" i="38"/>
  <c r="N32" i="38"/>
  <c r="M32" i="38"/>
  <c r="L32" i="38"/>
  <c r="K32" i="38"/>
  <c r="Q31" i="38"/>
  <c r="P31" i="38"/>
  <c r="O31" i="38"/>
  <c r="N31" i="38"/>
  <c r="M31" i="38"/>
  <c r="L31" i="38"/>
  <c r="K31" i="38"/>
  <c r="Q30" i="38"/>
  <c r="P30" i="38"/>
  <c r="O30" i="38"/>
  <c r="N30" i="38"/>
  <c r="M30" i="38"/>
  <c r="L30" i="38"/>
  <c r="K30" i="38"/>
  <c r="Q29" i="38"/>
  <c r="P29" i="38"/>
  <c r="O29" i="38"/>
  <c r="N29" i="38"/>
  <c r="M29" i="38"/>
  <c r="L29" i="38"/>
  <c r="K29" i="38"/>
  <c r="Q26" i="38"/>
  <c r="P26" i="38"/>
  <c r="O26" i="38"/>
  <c r="N26" i="38"/>
  <c r="M26" i="38"/>
  <c r="L26" i="38"/>
  <c r="K26" i="38"/>
  <c r="Q25" i="38"/>
  <c r="P25" i="38"/>
  <c r="O25" i="38"/>
  <c r="N25" i="38"/>
  <c r="M25" i="38"/>
  <c r="L25" i="38"/>
  <c r="K25" i="38"/>
  <c r="Q24" i="38"/>
  <c r="P24" i="38"/>
  <c r="O24" i="38"/>
  <c r="N24" i="38"/>
  <c r="M24" i="38"/>
  <c r="L24" i="38"/>
  <c r="K24" i="38"/>
  <c r="Q23" i="38"/>
  <c r="P23" i="38"/>
  <c r="O23" i="38"/>
  <c r="N23" i="38"/>
  <c r="M23" i="38"/>
  <c r="L23" i="38"/>
  <c r="K23" i="38"/>
  <c r="Q22" i="38"/>
  <c r="P22" i="38"/>
  <c r="O22" i="38"/>
  <c r="N22" i="38"/>
  <c r="M22" i="38"/>
  <c r="L22" i="38"/>
  <c r="K22" i="38"/>
  <c r="Q21" i="38"/>
  <c r="P21" i="38"/>
  <c r="O21" i="38"/>
  <c r="N21" i="38"/>
  <c r="M21" i="38"/>
  <c r="L21" i="38"/>
  <c r="K21" i="38"/>
  <c r="Q20" i="38"/>
  <c r="P20" i="38"/>
  <c r="O20" i="38"/>
  <c r="N20" i="38"/>
  <c r="M20" i="38"/>
  <c r="L20" i="38"/>
  <c r="K20" i="38"/>
  <c r="Q19" i="38"/>
  <c r="P19" i="38"/>
  <c r="O19" i="38"/>
  <c r="N19" i="38"/>
  <c r="M19" i="38"/>
  <c r="L19" i="38"/>
  <c r="K19" i="38"/>
  <c r="Q18" i="38"/>
  <c r="P18" i="38"/>
  <c r="O18" i="38"/>
  <c r="N18" i="38"/>
  <c r="M18" i="38"/>
  <c r="L18" i="38"/>
  <c r="K18" i="38"/>
  <c r="Q16" i="38"/>
  <c r="P16" i="38"/>
  <c r="O16" i="38"/>
  <c r="N16" i="38"/>
  <c r="M16" i="38"/>
  <c r="L16" i="38"/>
  <c r="K16" i="38"/>
  <c r="Q13" i="38"/>
  <c r="P13" i="38"/>
  <c r="O13" i="38"/>
  <c r="N13" i="38"/>
  <c r="M13" i="38"/>
  <c r="L13" i="38"/>
  <c r="K13" i="38"/>
  <c r="Q12" i="38"/>
  <c r="P12" i="38"/>
  <c r="O12" i="38"/>
  <c r="N12" i="38"/>
  <c r="M12" i="38"/>
  <c r="L12" i="38"/>
  <c r="K12" i="38"/>
  <c r="Q11" i="38"/>
  <c r="P11" i="38"/>
  <c r="O11" i="38"/>
  <c r="N11" i="38"/>
  <c r="M11" i="38"/>
  <c r="L11" i="38"/>
  <c r="K11" i="38"/>
  <c r="Q10" i="38"/>
  <c r="P10" i="38"/>
  <c r="O10" i="38"/>
  <c r="N10" i="38"/>
  <c r="M10" i="38"/>
  <c r="L10" i="38"/>
  <c r="K10" i="38"/>
  <c r="Q9" i="38"/>
  <c r="P9" i="38"/>
  <c r="O9" i="38"/>
  <c r="N9" i="38"/>
  <c r="M9" i="38"/>
  <c r="L9" i="38"/>
  <c r="K9" i="38"/>
  <c r="Q8" i="38"/>
  <c r="P8" i="38"/>
  <c r="O8" i="38"/>
  <c r="N8" i="38"/>
  <c r="M8" i="38"/>
  <c r="L8" i="38"/>
  <c r="K8" i="38"/>
  <c r="Q7" i="38"/>
  <c r="P7" i="38"/>
  <c r="O7" i="38"/>
  <c r="N7" i="38"/>
  <c r="M7" i="38"/>
  <c r="L7" i="38"/>
  <c r="K7" i="38"/>
  <c r="Q6" i="38"/>
  <c r="P6" i="38"/>
  <c r="O6" i="38"/>
  <c r="N6" i="38"/>
  <c r="M6" i="38"/>
  <c r="L6" i="38"/>
  <c r="K6" i="38"/>
  <c r="Q5" i="38"/>
  <c r="P5" i="38"/>
  <c r="O5" i="38"/>
  <c r="N5" i="38"/>
  <c r="M5" i="38"/>
  <c r="L5" i="38"/>
  <c r="K5" i="38"/>
  <c r="Q33" i="5"/>
  <c r="P33" i="5"/>
  <c r="O33" i="5"/>
  <c r="N33" i="5"/>
  <c r="M33" i="5"/>
  <c r="L33" i="5"/>
  <c r="K33" i="5"/>
  <c r="Q32" i="5"/>
  <c r="P32" i="5"/>
  <c r="O32" i="5"/>
  <c r="N32" i="5"/>
  <c r="M32" i="5"/>
  <c r="L32" i="5"/>
  <c r="K32" i="5"/>
  <c r="Q31" i="5"/>
  <c r="P31" i="5"/>
  <c r="O31" i="5"/>
  <c r="N31" i="5"/>
  <c r="M31" i="5"/>
  <c r="L31" i="5"/>
  <c r="K31" i="5"/>
  <c r="Q30" i="5"/>
  <c r="P30" i="5"/>
  <c r="O30" i="5"/>
  <c r="N30" i="5"/>
  <c r="M30" i="5"/>
  <c r="L30" i="5"/>
  <c r="K30" i="5"/>
  <c r="Q29" i="5"/>
  <c r="P29" i="5"/>
  <c r="O29" i="5"/>
  <c r="N29" i="5"/>
  <c r="M29" i="5"/>
  <c r="L29" i="5"/>
  <c r="K29" i="5"/>
  <c r="Q26" i="5"/>
  <c r="P26" i="5"/>
  <c r="O26" i="5"/>
  <c r="N26" i="5"/>
  <c r="M26" i="5"/>
  <c r="L26" i="5"/>
  <c r="K26" i="5"/>
  <c r="Q25" i="5"/>
  <c r="P25" i="5"/>
  <c r="O25" i="5"/>
  <c r="N25" i="5"/>
  <c r="M25" i="5"/>
  <c r="L25" i="5"/>
  <c r="K25" i="5"/>
  <c r="Q24" i="5"/>
  <c r="P24" i="5"/>
  <c r="O24" i="5"/>
  <c r="N24" i="5"/>
  <c r="M24" i="5"/>
  <c r="L24" i="5"/>
  <c r="K24" i="5"/>
  <c r="Q23" i="5"/>
  <c r="P23" i="5"/>
  <c r="O23" i="5"/>
  <c r="N23" i="5"/>
  <c r="M23" i="5"/>
  <c r="L23" i="5"/>
  <c r="K23" i="5"/>
  <c r="Q22" i="5"/>
  <c r="P22" i="5"/>
  <c r="O22" i="5"/>
  <c r="N22" i="5"/>
  <c r="M22" i="5"/>
  <c r="L22" i="5"/>
  <c r="K22" i="5"/>
  <c r="Q21" i="5"/>
  <c r="P21" i="5"/>
  <c r="O21" i="5"/>
  <c r="N21" i="5"/>
  <c r="M21" i="5"/>
  <c r="L21" i="5"/>
  <c r="K21" i="5"/>
  <c r="Q20" i="5"/>
  <c r="P20" i="5"/>
  <c r="O20" i="5"/>
  <c r="N20" i="5"/>
  <c r="M20" i="5"/>
  <c r="L20" i="5"/>
  <c r="K20" i="5"/>
  <c r="Q19" i="5"/>
  <c r="P19" i="5"/>
  <c r="O19" i="5"/>
  <c r="N19" i="5"/>
  <c r="M19" i="5"/>
  <c r="L19" i="5"/>
  <c r="K19" i="5"/>
  <c r="Q18" i="5"/>
  <c r="P18" i="5"/>
  <c r="O18" i="5"/>
  <c r="N18" i="5"/>
  <c r="M18" i="5"/>
  <c r="L18" i="5"/>
  <c r="K18" i="5"/>
  <c r="Q16" i="5"/>
  <c r="P16" i="5"/>
  <c r="O16" i="5"/>
  <c r="N16" i="5"/>
  <c r="M16" i="5"/>
  <c r="L16" i="5"/>
  <c r="K16" i="5"/>
  <c r="Q13" i="5"/>
  <c r="P13" i="5"/>
  <c r="O13" i="5"/>
  <c r="N13" i="5"/>
  <c r="M13" i="5"/>
  <c r="L13" i="5"/>
  <c r="K13" i="5"/>
  <c r="Q12" i="5"/>
  <c r="P12" i="5"/>
  <c r="O12" i="5"/>
  <c r="N12" i="5"/>
  <c r="M12" i="5"/>
  <c r="L12" i="5"/>
  <c r="K12" i="5"/>
  <c r="Q11" i="5"/>
  <c r="P11" i="5"/>
  <c r="O11" i="5"/>
  <c r="N11" i="5"/>
  <c r="M11" i="5"/>
  <c r="L11" i="5"/>
  <c r="K11" i="5"/>
  <c r="Q10" i="5"/>
  <c r="P10" i="5"/>
  <c r="O10" i="5"/>
  <c r="N10" i="5"/>
  <c r="M10" i="5"/>
  <c r="L10" i="5"/>
  <c r="K10" i="5"/>
  <c r="Q9" i="5"/>
  <c r="P9" i="5"/>
  <c r="O9" i="5"/>
  <c r="N9" i="5"/>
  <c r="M9" i="5"/>
  <c r="L9" i="5"/>
  <c r="K9" i="5"/>
  <c r="Q8" i="5"/>
  <c r="P8" i="5"/>
  <c r="N8" i="5"/>
  <c r="M8" i="5"/>
  <c r="L8" i="5"/>
  <c r="K8" i="5"/>
  <c r="Q7" i="5"/>
  <c r="P7" i="5"/>
  <c r="O7" i="5"/>
  <c r="N7" i="5"/>
  <c r="M7" i="5"/>
  <c r="L7" i="5"/>
  <c r="K7" i="5"/>
  <c r="Q6" i="5"/>
  <c r="P6" i="5"/>
  <c r="O6" i="5"/>
  <c r="N6" i="5"/>
  <c r="M6" i="5"/>
  <c r="L6" i="5"/>
  <c r="K6" i="5"/>
  <c r="Q5" i="5"/>
  <c r="P5" i="5"/>
  <c r="O5" i="5"/>
  <c r="N5" i="5"/>
  <c r="M5" i="5"/>
  <c r="L5" i="5"/>
  <c r="K5" i="5"/>
  <c r="L35" i="42" l="1"/>
  <c r="L3" i="42" s="1"/>
  <c r="L35" i="45"/>
  <c r="L3" i="45" s="1"/>
  <c r="M35" i="47"/>
  <c r="M3" i="47" s="1"/>
  <c r="K35" i="48"/>
  <c r="K3" i="48" s="1"/>
  <c r="L35" i="48"/>
  <c r="L3" i="48" s="1"/>
  <c r="M35" i="48"/>
  <c r="M3" i="48" s="1"/>
  <c r="O35" i="48"/>
  <c r="O3" i="48" s="1"/>
  <c r="K35" i="49"/>
  <c r="K3" i="49" s="1"/>
  <c r="M35" i="49"/>
  <c r="M3" i="49" s="1"/>
  <c r="K35" i="51"/>
  <c r="K3" i="51" s="1"/>
  <c r="M35" i="51"/>
  <c r="M3" i="51" s="1"/>
  <c r="K35" i="52"/>
  <c r="K3" i="52" s="1"/>
  <c r="L35" i="52"/>
  <c r="L3" i="52" s="1"/>
  <c r="M35" i="52"/>
  <c r="M3" i="52" s="1"/>
  <c r="N35" i="52"/>
  <c r="N3" i="52" s="1"/>
  <c r="K35" i="53"/>
  <c r="K3" i="53" s="1"/>
  <c r="M35" i="53"/>
  <c r="M3" i="53" s="1"/>
  <c r="K35" i="54"/>
  <c r="K3" i="54" s="1"/>
  <c r="M35" i="54"/>
  <c r="M3" i="54" s="1"/>
  <c r="N35" i="54"/>
  <c r="N3" i="54" s="1"/>
  <c r="K35" i="55"/>
  <c r="K3" i="55" s="1"/>
  <c r="L35" i="55"/>
  <c r="L3" i="55" s="1"/>
  <c r="M35" i="55"/>
  <c r="M3" i="55" s="1"/>
  <c r="N35" i="55"/>
  <c r="N3" i="55" s="1"/>
  <c r="O35" i="55"/>
  <c r="O3" i="55" s="1"/>
  <c r="K35" i="56"/>
  <c r="K3" i="56" s="1"/>
  <c r="M35" i="56"/>
  <c r="M3" i="56" s="1"/>
  <c r="K35" i="75"/>
  <c r="K3" i="75" s="1"/>
  <c r="L35" i="75"/>
  <c r="L3" i="75" s="1"/>
  <c r="K35" i="58"/>
  <c r="K3" i="58" s="1"/>
  <c r="M35" i="58"/>
  <c r="M3" i="58" s="1"/>
  <c r="O35" i="58"/>
  <c r="O3" i="58" s="1"/>
  <c r="K35" i="59"/>
  <c r="K3" i="59" s="1"/>
  <c r="L35" i="59"/>
  <c r="L3" i="59" s="1"/>
  <c r="O35" i="59"/>
  <c r="O3" i="59" s="1"/>
  <c r="P35" i="59"/>
  <c r="P3" i="59" s="1"/>
  <c r="K35" i="60"/>
  <c r="K3" i="60" s="1"/>
  <c r="L35" i="60"/>
  <c r="L3" i="60" s="1"/>
  <c r="M35" i="60"/>
  <c r="M3" i="60" s="1"/>
  <c r="N35" i="60"/>
  <c r="N3" i="60" s="1"/>
  <c r="O35" i="60"/>
  <c r="O3" i="60" s="1"/>
  <c r="K35" i="61"/>
  <c r="K3" i="61" s="1"/>
  <c r="M35" i="61"/>
  <c r="M3" i="61" s="1"/>
  <c r="K35" i="62"/>
  <c r="K3" i="62" s="1"/>
  <c r="M35" i="62"/>
  <c r="M3" i="62" s="1"/>
  <c r="K35" i="63"/>
  <c r="K3" i="63" s="1"/>
  <c r="L35" i="63"/>
  <c r="L3" i="63" s="1"/>
  <c r="M35" i="63"/>
  <c r="M3" i="63" s="1"/>
  <c r="O35" i="63"/>
  <c r="O3" i="63" s="1"/>
  <c r="K35" i="65"/>
  <c r="K3" i="65" s="1"/>
  <c r="L35" i="65"/>
  <c r="L3" i="65" s="1"/>
  <c r="M35" i="65"/>
  <c r="M3" i="65" s="1"/>
  <c r="N35" i="65"/>
  <c r="N3" i="65" s="1"/>
  <c r="O35" i="65"/>
  <c r="O3" i="65" s="1"/>
  <c r="K35" i="66"/>
  <c r="K3" i="66" s="1"/>
  <c r="M35" i="66"/>
  <c r="M3" i="66" s="1"/>
  <c r="N35" i="66"/>
  <c r="N3" i="66" s="1"/>
  <c r="K35" i="74"/>
  <c r="K3" i="74" s="1"/>
  <c r="M35" i="74"/>
  <c r="M3" i="74" s="1"/>
  <c r="O35" i="46"/>
  <c r="O3" i="46" s="1"/>
  <c r="P35" i="46"/>
  <c r="P3" i="46" s="1"/>
  <c r="Q35" i="46"/>
  <c r="Q3" i="46" s="1"/>
  <c r="K35" i="46"/>
  <c r="K3" i="46" s="1"/>
  <c r="M35" i="46"/>
  <c r="M3" i="46" s="1"/>
  <c r="N35" i="46"/>
  <c r="N3" i="46" s="1"/>
  <c r="L35" i="46"/>
  <c r="L3" i="46" s="1"/>
  <c r="M35" i="45"/>
  <c r="M3" i="45" s="1"/>
  <c r="P35" i="45"/>
  <c r="P3" i="45" s="1"/>
  <c r="N35" i="45"/>
  <c r="N3" i="45" s="1"/>
  <c r="Q35" i="45"/>
  <c r="Q3" i="45" s="1"/>
  <c r="O35" i="45"/>
  <c r="O3" i="45" s="1"/>
  <c r="K35" i="45"/>
  <c r="K3" i="45" s="1"/>
  <c r="L35" i="44"/>
  <c r="L3" i="44" s="1"/>
  <c r="O35" i="44"/>
  <c r="O3" i="44" s="1"/>
  <c r="P35" i="44"/>
  <c r="P3" i="44" s="1"/>
  <c r="Q35" i="44"/>
  <c r="Q3" i="44" s="1"/>
  <c r="K35" i="44"/>
  <c r="K3" i="44" s="1"/>
  <c r="M35" i="44"/>
  <c r="M3" i="44" s="1"/>
  <c r="N35" i="44"/>
  <c r="N3" i="44" s="1"/>
  <c r="N35" i="42"/>
  <c r="N3" i="42" s="1"/>
  <c r="M35" i="42"/>
  <c r="M3" i="42" s="1"/>
  <c r="P35" i="42"/>
  <c r="P3" i="42" s="1"/>
  <c r="Q35" i="42"/>
  <c r="Q3" i="42" s="1"/>
  <c r="O35" i="42"/>
  <c r="O3" i="42" s="1"/>
  <c r="K35" i="42"/>
  <c r="K3" i="42" s="1"/>
  <c r="L35" i="40"/>
  <c r="L3" i="40" s="1"/>
  <c r="N35" i="40"/>
  <c r="N3" i="40" s="1"/>
  <c r="O35" i="40"/>
  <c r="O3" i="40" s="1"/>
  <c r="P35" i="40"/>
  <c r="P3" i="40" s="1"/>
  <c r="Q35" i="40"/>
  <c r="Q3" i="40" s="1"/>
  <c r="K35" i="40"/>
  <c r="K3" i="40" s="1"/>
  <c r="M35" i="40"/>
  <c r="M3" i="40" s="1"/>
  <c r="O35" i="39"/>
  <c r="O3" i="39" s="1"/>
  <c r="P35" i="39"/>
  <c r="P3" i="39" s="1"/>
  <c r="Q35" i="39"/>
  <c r="Q3" i="39" s="1"/>
  <c r="M35" i="39"/>
  <c r="M3" i="39" s="1"/>
  <c r="N35" i="39"/>
  <c r="N3" i="39" s="1"/>
  <c r="L35" i="39"/>
  <c r="L3" i="39" s="1"/>
  <c r="K35" i="39"/>
  <c r="K3" i="39" s="1"/>
  <c r="O35" i="38"/>
  <c r="O3" i="38" s="1"/>
  <c r="K35" i="38"/>
  <c r="K3" i="38" s="1"/>
  <c r="M35" i="38"/>
  <c r="M3" i="38" s="1"/>
  <c r="L35" i="38"/>
  <c r="L3" i="38" s="1"/>
  <c r="N35" i="38"/>
  <c r="N3" i="38" s="1"/>
  <c r="Q35" i="38"/>
  <c r="Q3" i="38" s="1"/>
  <c r="P35" i="38"/>
  <c r="P3" i="38" s="1"/>
  <c r="P35" i="5"/>
  <c r="P3" i="5" s="1"/>
  <c r="Q35" i="5"/>
  <c r="Q3" i="5" s="1"/>
  <c r="K35" i="5"/>
  <c r="K3" i="5" s="1"/>
  <c r="L35" i="5"/>
  <c r="L3" i="5" s="1"/>
  <c r="M35" i="5"/>
  <c r="M3" i="5" s="1"/>
  <c r="N35" i="5"/>
  <c r="N3" i="5" s="1"/>
  <c r="O35" i="5"/>
  <c r="O3" i="5" s="1"/>
  <c r="C5" i="72"/>
  <c r="D5" i="72"/>
  <c r="E5" i="72"/>
  <c r="F5" i="72"/>
  <c r="H5" i="72"/>
  <c r="I5" i="72"/>
  <c r="J5" i="72"/>
  <c r="K5" i="72"/>
  <c r="L5" i="72"/>
  <c r="M5" i="72"/>
  <c r="O5" i="72"/>
  <c r="P5" i="72"/>
  <c r="Q5" i="72"/>
  <c r="R5" i="72"/>
  <c r="S5" i="72"/>
  <c r="T5" i="72"/>
  <c r="V5" i="72"/>
  <c r="W5" i="72"/>
  <c r="X5" i="72"/>
  <c r="Y5" i="72"/>
  <c r="Z5" i="72"/>
  <c r="AA5" i="72"/>
  <c r="AC5" i="72"/>
  <c r="AD5" i="72"/>
  <c r="AE5" i="72"/>
  <c r="AF5" i="72"/>
  <c r="AG5" i="72"/>
  <c r="C6" i="72"/>
  <c r="D6" i="72"/>
  <c r="E6" i="72"/>
  <c r="F6" i="72"/>
  <c r="H6" i="72"/>
  <c r="I6" i="72"/>
  <c r="J6" i="72"/>
  <c r="K6" i="72"/>
  <c r="L6" i="72"/>
  <c r="M6" i="72"/>
  <c r="O6" i="72"/>
  <c r="P6" i="72"/>
  <c r="Q6" i="72"/>
  <c r="R6" i="72"/>
  <c r="S6" i="72"/>
  <c r="T6" i="72"/>
  <c r="V6" i="72"/>
  <c r="W6" i="72"/>
  <c r="X6" i="72"/>
  <c r="Y6" i="72"/>
  <c r="Z6" i="72"/>
  <c r="AA6" i="72"/>
  <c r="AC6" i="72"/>
  <c r="AD6" i="72"/>
  <c r="AE6" i="72"/>
  <c r="AF6" i="72"/>
  <c r="AG6" i="72"/>
  <c r="C7" i="72"/>
  <c r="D7" i="72"/>
  <c r="E7" i="72"/>
  <c r="F7" i="72"/>
  <c r="H7" i="72"/>
  <c r="I7" i="72"/>
  <c r="J7" i="72"/>
  <c r="K7" i="72"/>
  <c r="L7" i="72"/>
  <c r="M7" i="72"/>
  <c r="O7" i="72"/>
  <c r="P7" i="72"/>
  <c r="Q7" i="72"/>
  <c r="R7" i="72"/>
  <c r="S7" i="72"/>
  <c r="T7" i="72"/>
  <c r="V7" i="72"/>
  <c r="W7" i="72"/>
  <c r="X7" i="72"/>
  <c r="Y7" i="72"/>
  <c r="Z7" i="72"/>
  <c r="AA7" i="72"/>
  <c r="AC7" i="72"/>
  <c r="AD7" i="72"/>
  <c r="AE7" i="72"/>
  <c r="AF7" i="72"/>
  <c r="AG7" i="72"/>
  <c r="C8" i="72"/>
  <c r="D8" i="72"/>
  <c r="E8" i="72"/>
  <c r="F8" i="72"/>
  <c r="H8" i="72"/>
  <c r="I8" i="72"/>
  <c r="J8" i="72"/>
  <c r="K8" i="72"/>
  <c r="L8" i="72"/>
  <c r="M8" i="72"/>
  <c r="O8" i="72"/>
  <c r="P8" i="72"/>
  <c r="Q8" i="72"/>
  <c r="R8" i="72"/>
  <c r="S8" i="72"/>
  <c r="T8" i="72"/>
  <c r="V8" i="72"/>
  <c r="W8" i="72"/>
  <c r="X8" i="72"/>
  <c r="Y8" i="72"/>
  <c r="Z8" i="72"/>
  <c r="AA8" i="72"/>
  <c r="AC8" i="72"/>
  <c r="AD8" i="72"/>
  <c r="AE8" i="72"/>
  <c r="AF8" i="72"/>
  <c r="AG8" i="72"/>
  <c r="C9" i="72"/>
  <c r="D9" i="72"/>
  <c r="E9" i="72"/>
  <c r="F9" i="72"/>
  <c r="H9" i="72"/>
  <c r="I9" i="72"/>
  <c r="J9" i="72"/>
  <c r="K9" i="72"/>
  <c r="L9" i="72"/>
  <c r="M9" i="72"/>
  <c r="O9" i="72"/>
  <c r="P9" i="72"/>
  <c r="Q9" i="72"/>
  <c r="R9" i="72"/>
  <c r="S9" i="72"/>
  <c r="T9" i="72"/>
  <c r="V9" i="72"/>
  <c r="W9" i="72"/>
  <c r="X9" i="72"/>
  <c r="Y9" i="72"/>
  <c r="Z9" i="72"/>
  <c r="AA9" i="72"/>
  <c r="AC9" i="72"/>
  <c r="AD9" i="72"/>
  <c r="AE9" i="72"/>
  <c r="AF9" i="72"/>
  <c r="AG9" i="72"/>
  <c r="C10" i="72"/>
  <c r="D10" i="72"/>
  <c r="E10" i="72"/>
  <c r="F10" i="72"/>
  <c r="H10" i="72"/>
  <c r="I10" i="72"/>
  <c r="J10" i="72"/>
  <c r="K10" i="72"/>
  <c r="L10" i="72"/>
  <c r="M10" i="72"/>
  <c r="O10" i="72"/>
  <c r="P10" i="72"/>
  <c r="Q10" i="72"/>
  <c r="R10" i="72"/>
  <c r="S10" i="72"/>
  <c r="T10" i="72"/>
  <c r="V10" i="72"/>
  <c r="W10" i="72"/>
  <c r="X10" i="72"/>
  <c r="Y10" i="72"/>
  <c r="Z10" i="72"/>
  <c r="AA10" i="72"/>
  <c r="AC10" i="72"/>
  <c r="AD10" i="72"/>
  <c r="AE10" i="72"/>
  <c r="AF10" i="72"/>
  <c r="AG10" i="72"/>
  <c r="C11" i="72"/>
  <c r="D11" i="72"/>
  <c r="E11" i="72"/>
  <c r="F11" i="72"/>
  <c r="H11" i="72"/>
  <c r="I11" i="72"/>
  <c r="J11" i="72"/>
  <c r="K11" i="72"/>
  <c r="L11" i="72"/>
  <c r="M11" i="72"/>
  <c r="O11" i="72"/>
  <c r="P11" i="72"/>
  <c r="Q11" i="72"/>
  <c r="R11" i="72"/>
  <c r="S11" i="72"/>
  <c r="T11" i="72"/>
  <c r="V11" i="72"/>
  <c r="W11" i="72"/>
  <c r="X11" i="72"/>
  <c r="Y11" i="72"/>
  <c r="Z11" i="72"/>
  <c r="AA11" i="72"/>
  <c r="AC11" i="72"/>
  <c r="AD11" i="72"/>
  <c r="AE11" i="72"/>
  <c r="AF11" i="72"/>
  <c r="AG11" i="72"/>
  <c r="C14" i="72"/>
  <c r="D14" i="72"/>
  <c r="E14" i="72"/>
  <c r="F14" i="72"/>
  <c r="H14" i="72"/>
  <c r="I14" i="72"/>
  <c r="J14" i="72"/>
  <c r="K14" i="72"/>
  <c r="L14" i="72"/>
  <c r="M14" i="72"/>
  <c r="O14" i="72"/>
  <c r="P14" i="72"/>
  <c r="Q14" i="72"/>
  <c r="R14" i="72"/>
  <c r="S14" i="72"/>
  <c r="T14" i="72"/>
  <c r="V14" i="72"/>
  <c r="W14" i="72"/>
  <c r="X14" i="72"/>
  <c r="Y14" i="72"/>
  <c r="Z14" i="72"/>
  <c r="AA14" i="72"/>
  <c r="AC14" i="72"/>
  <c r="AD14" i="72"/>
  <c r="AE14" i="72"/>
  <c r="AF14" i="72"/>
  <c r="AG14" i="72"/>
  <c r="C15" i="72"/>
  <c r="D15" i="72"/>
  <c r="E15" i="72"/>
  <c r="F15" i="72"/>
  <c r="H15" i="72"/>
  <c r="I15" i="72"/>
  <c r="J15" i="72"/>
  <c r="K15" i="72"/>
  <c r="L15" i="72"/>
  <c r="M15" i="72"/>
  <c r="O15" i="72"/>
  <c r="P15" i="72"/>
  <c r="Q15" i="72"/>
  <c r="R15" i="72"/>
  <c r="S15" i="72"/>
  <c r="T15" i="72"/>
  <c r="V15" i="72"/>
  <c r="W15" i="72"/>
  <c r="X15" i="72"/>
  <c r="Y15" i="72"/>
  <c r="Z15" i="72"/>
  <c r="AA15" i="72"/>
  <c r="AC15" i="72"/>
  <c r="AD15" i="72"/>
  <c r="AE15" i="72"/>
  <c r="AF15" i="72"/>
  <c r="AG15" i="72"/>
  <c r="C16" i="72"/>
  <c r="D16" i="72"/>
  <c r="E16" i="72"/>
  <c r="F16" i="72"/>
  <c r="H16" i="72"/>
  <c r="I16" i="72"/>
  <c r="J16" i="72"/>
  <c r="K16" i="72"/>
  <c r="L16" i="72"/>
  <c r="M16" i="72"/>
  <c r="O16" i="72"/>
  <c r="P16" i="72"/>
  <c r="Q16" i="72"/>
  <c r="R16" i="72"/>
  <c r="S16" i="72"/>
  <c r="T16" i="72"/>
  <c r="V16" i="72"/>
  <c r="W16" i="72"/>
  <c r="X16" i="72"/>
  <c r="Y16" i="72"/>
  <c r="Z16" i="72"/>
  <c r="AA16" i="72"/>
  <c r="AC16" i="72"/>
  <c r="AD16" i="72"/>
  <c r="AE16" i="72"/>
  <c r="AF16" i="72"/>
  <c r="AG16" i="72"/>
  <c r="C17" i="72"/>
  <c r="D17" i="72"/>
  <c r="E17" i="72"/>
  <c r="F17" i="72"/>
  <c r="H17" i="72"/>
  <c r="I17" i="72"/>
  <c r="J17" i="72"/>
  <c r="K17" i="72"/>
  <c r="L17" i="72"/>
  <c r="M17" i="72"/>
  <c r="O17" i="72"/>
  <c r="P17" i="72"/>
  <c r="Q17" i="72"/>
  <c r="R17" i="72"/>
  <c r="S17" i="72"/>
  <c r="T17" i="72"/>
  <c r="V17" i="72"/>
  <c r="W17" i="72"/>
  <c r="X17" i="72"/>
  <c r="Y17" i="72"/>
  <c r="Z17" i="72"/>
  <c r="AA17" i="72"/>
  <c r="AC17" i="72"/>
  <c r="AD17" i="72"/>
  <c r="AE17" i="72"/>
  <c r="AF17" i="72"/>
  <c r="AG17" i="72"/>
  <c r="C18" i="72"/>
  <c r="D18" i="72"/>
  <c r="E18" i="72"/>
  <c r="F18" i="72"/>
  <c r="H18" i="72"/>
  <c r="I18" i="72"/>
  <c r="J18" i="72"/>
  <c r="K18" i="72"/>
  <c r="L18" i="72"/>
  <c r="M18" i="72"/>
  <c r="O18" i="72"/>
  <c r="P18" i="72"/>
  <c r="Q18" i="72"/>
  <c r="R18" i="72"/>
  <c r="S18" i="72"/>
  <c r="T18" i="72"/>
  <c r="V18" i="72"/>
  <c r="W18" i="72"/>
  <c r="X18" i="72"/>
  <c r="Y18" i="72"/>
  <c r="Z18" i="72"/>
  <c r="AA18" i="72"/>
  <c r="AC18" i="72"/>
  <c r="AD18" i="72"/>
  <c r="AE18" i="72"/>
  <c r="AF18" i="72"/>
  <c r="AG18" i="72"/>
  <c r="C19" i="72"/>
  <c r="D19" i="72"/>
  <c r="E19" i="72"/>
  <c r="F19" i="72"/>
  <c r="H19" i="72"/>
  <c r="I19" i="72"/>
  <c r="J19" i="72"/>
  <c r="K19" i="72"/>
  <c r="L19" i="72"/>
  <c r="M19" i="72"/>
  <c r="O19" i="72"/>
  <c r="P19" i="72"/>
  <c r="Q19" i="72"/>
  <c r="R19" i="72"/>
  <c r="S19" i="72"/>
  <c r="T19" i="72"/>
  <c r="V19" i="72"/>
  <c r="W19" i="72"/>
  <c r="X19" i="72"/>
  <c r="Y19" i="72"/>
  <c r="Z19" i="72"/>
  <c r="AA19" i="72"/>
  <c r="AC19" i="72"/>
  <c r="AD19" i="72"/>
  <c r="AE19" i="72"/>
  <c r="AF19" i="72"/>
  <c r="AG19" i="72"/>
  <c r="C20" i="72"/>
  <c r="D20" i="72"/>
  <c r="E20" i="72"/>
  <c r="F20" i="72"/>
  <c r="H20" i="72"/>
  <c r="I20" i="72"/>
  <c r="J20" i="72"/>
  <c r="K20" i="72"/>
  <c r="L20" i="72"/>
  <c r="M20" i="72"/>
  <c r="O20" i="72"/>
  <c r="P20" i="72"/>
  <c r="Q20" i="72"/>
  <c r="R20" i="72"/>
  <c r="S20" i="72"/>
  <c r="T20" i="72"/>
  <c r="V20" i="72"/>
  <c r="W20" i="72"/>
  <c r="X20" i="72"/>
  <c r="Y20" i="72"/>
  <c r="Z20" i="72"/>
  <c r="AA20" i="72"/>
  <c r="AC20" i="72"/>
  <c r="AD20" i="72"/>
  <c r="AE20" i="72"/>
  <c r="AF20" i="72"/>
  <c r="AG20" i="72"/>
  <c r="C21" i="72"/>
  <c r="D21" i="72"/>
  <c r="E21" i="72"/>
  <c r="F21" i="72"/>
  <c r="H21" i="72"/>
  <c r="I21" i="72"/>
  <c r="J21" i="72"/>
  <c r="K21" i="72"/>
  <c r="L21" i="72"/>
  <c r="M21" i="72"/>
  <c r="O21" i="72"/>
  <c r="P21" i="72"/>
  <c r="Q21" i="72"/>
  <c r="R21" i="72"/>
  <c r="S21" i="72"/>
  <c r="T21" i="72"/>
  <c r="V21" i="72"/>
  <c r="W21" i="72"/>
  <c r="X21" i="72"/>
  <c r="Y21" i="72"/>
  <c r="Z21" i="72"/>
  <c r="AA21" i="72"/>
  <c r="AC21" i="72"/>
  <c r="AD21" i="72"/>
  <c r="AE21" i="72"/>
  <c r="AF21" i="72"/>
  <c r="AG21" i="72"/>
  <c r="C22" i="72"/>
  <c r="D22" i="72"/>
  <c r="E22" i="72"/>
  <c r="F22" i="72"/>
  <c r="H22" i="72"/>
  <c r="I22" i="72"/>
  <c r="J22" i="72"/>
  <c r="K22" i="72"/>
  <c r="L22" i="72"/>
  <c r="M22" i="72"/>
  <c r="O22" i="72"/>
  <c r="P22" i="72"/>
  <c r="Q22" i="72"/>
  <c r="R22" i="72"/>
  <c r="S22" i="72"/>
  <c r="T22" i="72"/>
  <c r="V22" i="72"/>
  <c r="W22" i="72"/>
  <c r="X22" i="72"/>
  <c r="Y22" i="72"/>
  <c r="Z22" i="72"/>
  <c r="AA22" i="72"/>
  <c r="AC22" i="72"/>
  <c r="AD22" i="72"/>
  <c r="AE22" i="72"/>
  <c r="AF22" i="72"/>
  <c r="AG22" i="72"/>
  <c r="C23" i="72"/>
  <c r="D23" i="72"/>
  <c r="E23" i="72"/>
  <c r="F23" i="72"/>
  <c r="H23" i="72"/>
  <c r="I23" i="72"/>
  <c r="J23" i="72"/>
  <c r="K23" i="72"/>
  <c r="L23" i="72"/>
  <c r="M23" i="72"/>
  <c r="O23" i="72"/>
  <c r="P23" i="72"/>
  <c r="Q23" i="72"/>
  <c r="R23" i="72"/>
  <c r="S23" i="72"/>
  <c r="T23" i="72"/>
  <c r="V23" i="72"/>
  <c r="W23" i="72"/>
  <c r="X23" i="72"/>
  <c r="Y23" i="72"/>
  <c r="Z23" i="72"/>
  <c r="AA23" i="72"/>
  <c r="AC23" i="72"/>
  <c r="AD23" i="72"/>
  <c r="AE23" i="72"/>
  <c r="AF23" i="72"/>
  <c r="AG23" i="72"/>
  <c r="C24" i="72"/>
  <c r="D24" i="72"/>
  <c r="E24" i="72"/>
  <c r="F24" i="72"/>
  <c r="H24" i="72"/>
  <c r="I24" i="72"/>
  <c r="J24" i="72"/>
  <c r="K24" i="72"/>
  <c r="L24" i="72"/>
  <c r="M24" i="72"/>
  <c r="O24" i="72"/>
  <c r="P24" i="72"/>
  <c r="Q24" i="72"/>
  <c r="R24" i="72"/>
  <c r="S24" i="72"/>
  <c r="T24" i="72"/>
  <c r="V24" i="72"/>
  <c r="W24" i="72"/>
  <c r="X24" i="72"/>
  <c r="Y24" i="72"/>
  <c r="Z24" i="72"/>
  <c r="AA24" i="72"/>
  <c r="AC24" i="72"/>
  <c r="AD24" i="72"/>
  <c r="AE24" i="72"/>
  <c r="AF24" i="72"/>
  <c r="AG24" i="72"/>
  <c r="C27" i="72"/>
  <c r="D27" i="72"/>
  <c r="E27" i="72"/>
  <c r="F27" i="72"/>
  <c r="H27" i="72"/>
  <c r="I27" i="72"/>
  <c r="J27" i="72"/>
  <c r="K27" i="72"/>
  <c r="L27" i="72"/>
  <c r="M27" i="72"/>
  <c r="O27" i="72"/>
  <c r="P27" i="72"/>
  <c r="Q27" i="72"/>
  <c r="R27" i="72"/>
  <c r="S27" i="72"/>
  <c r="T27" i="72"/>
  <c r="V27" i="72"/>
  <c r="W27" i="72"/>
  <c r="X27" i="72"/>
  <c r="Y27" i="72"/>
  <c r="Z27" i="72"/>
  <c r="AA27" i="72"/>
  <c r="AC27" i="72"/>
  <c r="AD27" i="72"/>
  <c r="AE27" i="72"/>
  <c r="AF27" i="72"/>
  <c r="AG27" i="72"/>
  <c r="C28" i="72"/>
  <c r="D28" i="72"/>
  <c r="E28" i="72"/>
  <c r="F28" i="72"/>
  <c r="H28" i="72"/>
  <c r="I28" i="72"/>
  <c r="J28" i="72"/>
  <c r="K28" i="72"/>
  <c r="L28" i="72"/>
  <c r="M28" i="72"/>
  <c r="O28" i="72"/>
  <c r="P28" i="72"/>
  <c r="Q28" i="72"/>
  <c r="R28" i="72"/>
  <c r="S28" i="72"/>
  <c r="T28" i="72"/>
  <c r="V28" i="72"/>
  <c r="W28" i="72"/>
  <c r="X28" i="72"/>
  <c r="Y28" i="72"/>
  <c r="Z28" i="72"/>
  <c r="AA28" i="72"/>
  <c r="AC28" i="72"/>
  <c r="AD28" i="72"/>
  <c r="AE28" i="72"/>
  <c r="AF28" i="72"/>
  <c r="AG28" i="72"/>
  <c r="C29" i="72"/>
  <c r="D29" i="72"/>
  <c r="E29" i="72"/>
  <c r="F29" i="72"/>
  <c r="H29" i="72"/>
  <c r="I29" i="72"/>
  <c r="J29" i="72"/>
  <c r="K29" i="72"/>
  <c r="L29" i="72"/>
  <c r="M29" i="72"/>
  <c r="O29" i="72"/>
  <c r="P29" i="72"/>
  <c r="Q29" i="72"/>
  <c r="R29" i="72"/>
  <c r="S29" i="72"/>
  <c r="T29" i="72"/>
  <c r="V29" i="72"/>
  <c r="W29" i="72"/>
  <c r="X29" i="72"/>
  <c r="Y29" i="72"/>
  <c r="Z29" i="72"/>
  <c r="AA29" i="72"/>
  <c r="AC29" i="72"/>
  <c r="AD29" i="72"/>
  <c r="AE29" i="72"/>
  <c r="AF29" i="72"/>
  <c r="AG29" i="72"/>
  <c r="C30" i="72"/>
  <c r="D30" i="72"/>
  <c r="E30" i="72"/>
  <c r="F30" i="72"/>
  <c r="H30" i="72"/>
  <c r="I30" i="72"/>
  <c r="J30" i="72"/>
  <c r="K30" i="72"/>
  <c r="L30" i="72"/>
  <c r="M30" i="72"/>
  <c r="O30" i="72"/>
  <c r="P30" i="72"/>
  <c r="Q30" i="72"/>
  <c r="R30" i="72"/>
  <c r="S30" i="72"/>
  <c r="T30" i="72"/>
  <c r="V30" i="72"/>
  <c r="W30" i="72"/>
  <c r="X30" i="72"/>
  <c r="Y30" i="72"/>
  <c r="Z30" i="72"/>
  <c r="AA30" i="72"/>
  <c r="AC30" i="72"/>
  <c r="AD30" i="72"/>
  <c r="AE30" i="72"/>
  <c r="AF30" i="72"/>
  <c r="AG30" i="72"/>
  <c r="C31" i="72"/>
  <c r="D31" i="72"/>
  <c r="E31" i="72"/>
  <c r="F31" i="72"/>
  <c r="H31" i="72"/>
  <c r="I31" i="72"/>
  <c r="J31" i="72"/>
  <c r="K31" i="72"/>
  <c r="L31" i="72"/>
  <c r="M31" i="72"/>
  <c r="O31" i="72"/>
  <c r="P31" i="72"/>
  <c r="Q31" i="72"/>
  <c r="R31" i="72"/>
  <c r="S31" i="72"/>
  <c r="T31" i="72"/>
  <c r="V31" i="72"/>
  <c r="W31" i="72"/>
  <c r="X31" i="72"/>
  <c r="Y31" i="72"/>
  <c r="Z31" i="72"/>
  <c r="AA31" i="72"/>
  <c r="AC31" i="72"/>
  <c r="AD31" i="72"/>
  <c r="AE31" i="72"/>
  <c r="AF31" i="72"/>
  <c r="AG31" i="72"/>
  <c r="AG4" i="72"/>
  <c r="AF4" i="72"/>
  <c r="AE4" i="72"/>
  <c r="AD4" i="72"/>
  <c r="AC4" i="72"/>
  <c r="AA4" i="72"/>
  <c r="Z4" i="72"/>
  <c r="Y4" i="72"/>
  <c r="X4" i="72"/>
  <c r="W4" i="72"/>
  <c r="V4" i="72"/>
  <c r="T4" i="72"/>
  <c r="S4" i="72"/>
  <c r="R4" i="72"/>
  <c r="Q4" i="72"/>
  <c r="P4" i="72"/>
  <c r="O4" i="72"/>
  <c r="M4" i="72"/>
  <c r="L4" i="72"/>
  <c r="K4" i="72"/>
  <c r="J4" i="72"/>
  <c r="I4" i="72"/>
  <c r="H4" i="72"/>
  <c r="F4" i="72"/>
  <c r="E4" i="72"/>
  <c r="D4" i="72"/>
  <c r="C4" i="72"/>
  <c r="AG3" i="72"/>
  <c r="AF3" i="72"/>
  <c r="AE3" i="72"/>
  <c r="AD3" i="72"/>
  <c r="AC3" i="72"/>
  <c r="AA3" i="72"/>
  <c r="Z3" i="72"/>
  <c r="Y3" i="72"/>
  <c r="X3" i="72"/>
  <c r="W3" i="72"/>
  <c r="V3" i="72"/>
  <c r="T3" i="72"/>
  <c r="S3" i="72"/>
  <c r="R3" i="72"/>
  <c r="Q3" i="72"/>
  <c r="P3" i="72"/>
  <c r="O3" i="72"/>
  <c r="M3" i="72"/>
  <c r="L3" i="72"/>
  <c r="K3" i="72"/>
  <c r="J3" i="72"/>
  <c r="I3" i="72"/>
  <c r="H3" i="72"/>
  <c r="F3" i="72"/>
  <c r="E3" i="72"/>
  <c r="D3" i="72"/>
  <c r="C3" i="72"/>
  <c r="C5" i="71"/>
  <c r="D5" i="71"/>
  <c r="E5" i="71"/>
  <c r="F5" i="71"/>
  <c r="H5" i="71"/>
  <c r="I5" i="71"/>
  <c r="J5" i="71"/>
  <c r="K5" i="71"/>
  <c r="L5" i="71"/>
  <c r="M5" i="71"/>
  <c r="O5" i="71"/>
  <c r="P5" i="71"/>
  <c r="Q5" i="71"/>
  <c r="R5" i="71"/>
  <c r="S5" i="71"/>
  <c r="T5" i="71"/>
  <c r="V5" i="71"/>
  <c r="W5" i="71"/>
  <c r="X5" i="71"/>
  <c r="Y5" i="71"/>
  <c r="Z5" i="71"/>
  <c r="AA5" i="71"/>
  <c r="AC5" i="71"/>
  <c r="AD5" i="71"/>
  <c r="AE5" i="71"/>
  <c r="AF5" i="71"/>
  <c r="AG5" i="71"/>
  <c r="C6" i="71"/>
  <c r="D6" i="71"/>
  <c r="E6" i="71"/>
  <c r="F6" i="71"/>
  <c r="H6" i="71"/>
  <c r="I6" i="71"/>
  <c r="J6" i="71"/>
  <c r="K6" i="71"/>
  <c r="L6" i="71"/>
  <c r="M6" i="71"/>
  <c r="O6" i="71"/>
  <c r="P6" i="71"/>
  <c r="Q6" i="71"/>
  <c r="R6" i="71"/>
  <c r="S6" i="71"/>
  <c r="T6" i="71"/>
  <c r="V6" i="71"/>
  <c r="W6" i="71"/>
  <c r="X6" i="71"/>
  <c r="Y6" i="71"/>
  <c r="Z6" i="71"/>
  <c r="AA6" i="71"/>
  <c r="AC6" i="71"/>
  <c r="AD6" i="71"/>
  <c r="AE6" i="71"/>
  <c r="AF6" i="71"/>
  <c r="AG6" i="71"/>
  <c r="C7" i="71"/>
  <c r="D7" i="71"/>
  <c r="E7" i="71"/>
  <c r="F7" i="71"/>
  <c r="H7" i="71"/>
  <c r="I7" i="71"/>
  <c r="J7" i="71"/>
  <c r="K7" i="71"/>
  <c r="L7" i="71"/>
  <c r="M7" i="71"/>
  <c r="O7" i="71"/>
  <c r="P7" i="71"/>
  <c r="Q7" i="71"/>
  <c r="R7" i="71"/>
  <c r="S7" i="71"/>
  <c r="T7" i="71"/>
  <c r="V7" i="71"/>
  <c r="W7" i="71"/>
  <c r="X7" i="71"/>
  <c r="Y7" i="71"/>
  <c r="Z7" i="71"/>
  <c r="AA7" i="71"/>
  <c r="AC7" i="71"/>
  <c r="AD7" i="71"/>
  <c r="AE7" i="71"/>
  <c r="AF7" i="71"/>
  <c r="AG7" i="71"/>
  <c r="C8" i="71"/>
  <c r="D8" i="71"/>
  <c r="E8" i="71"/>
  <c r="F8" i="71"/>
  <c r="H8" i="71"/>
  <c r="I8" i="71"/>
  <c r="J8" i="71"/>
  <c r="K8" i="71"/>
  <c r="L8" i="71"/>
  <c r="M8" i="71"/>
  <c r="O8" i="71"/>
  <c r="P8" i="71"/>
  <c r="Q8" i="71"/>
  <c r="R8" i="71"/>
  <c r="S8" i="71"/>
  <c r="T8" i="71"/>
  <c r="V8" i="71"/>
  <c r="W8" i="71"/>
  <c r="X8" i="71"/>
  <c r="Y8" i="71"/>
  <c r="Z8" i="71"/>
  <c r="AA8" i="71"/>
  <c r="AC8" i="71"/>
  <c r="AD8" i="71"/>
  <c r="AE8" i="71"/>
  <c r="AF8" i="71"/>
  <c r="AG8" i="71"/>
  <c r="C9" i="71"/>
  <c r="D9" i="71"/>
  <c r="E9" i="71"/>
  <c r="F9" i="71"/>
  <c r="H9" i="71"/>
  <c r="I9" i="71"/>
  <c r="J9" i="71"/>
  <c r="K9" i="71"/>
  <c r="L9" i="71"/>
  <c r="M9" i="71"/>
  <c r="O9" i="71"/>
  <c r="P9" i="71"/>
  <c r="Q9" i="71"/>
  <c r="R9" i="71"/>
  <c r="S9" i="71"/>
  <c r="T9" i="71"/>
  <c r="V9" i="71"/>
  <c r="W9" i="71"/>
  <c r="X9" i="71"/>
  <c r="Y9" i="71"/>
  <c r="Z9" i="71"/>
  <c r="AA9" i="71"/>
  <c r="AC9" i="71"/>
  <c r="AD9" i="71"/>
  <c r="AE9" i="71"/>
  <c r="AF9" i="71"/>
  <c r="AG9" i="71"/>
  <c r="C10" i="71"/>
  <c r="D10" i="71"/>
  <c r="E10" i="71"/>
  <c r="F10" i="71"/>
  <c r="H10" i="71"/>
  <c r="I10" i="71"/>
  <c r="J10" i="71"/>
  <c r="K10" i="71"/>
  <c r="L10" i="71"/>
  <c r="M10" i="71"/>
  <c r="O10" i="71"/>
  <c r="P10" i="71"/>
  <c r="Q10" i="71"/>
  <c r="R10" i="71"/>
  <c r="S10" i="71"/>
  <c r="T10" i="71"/>
  <c r="V10" i="71"/>
  <c r="W10" i="71"/>
  <c r="X10" i="71"/>
  <c r="Y10" i="71"/>
  <c r="Z10" i="71"/>
  <c r="AA10" i="71"/>
  <c r="AC10" i="71"/>
  <c r="AD10" i="71"/>
  <c r="AE10" i="71"/>
  <c r="AF10" i="71"/>
  <c r="AG10" i="71"/>
  <c r="C11" i="71"/>
  <c r="D11" i="71"/>
  <c r="E11" i="71"/>
  <c r="F11" i="71"/>
  <c r="H11" i="71"/>
  <c r="I11" i="71"/>
  <c r="J11" i="71"/>
  <c r="K11" i="71"/>
  <c r="L11" i="71"/>
  <c r="M11" i="71"/>
  <c r="O11" i="71"/>
  <c r="P11" i="71"/>
  <c r="Q11" i="71"/>
  <c r="R11" i="71"/>
  <c r="S11" i="71"/>
  <c r="T11" i="71"/>
  <c r="V11" i="71"/>
  <c r="W11" i="71"/>
  <c r="X11" i="71"/>
  <c r="Y11" i="71"/>
  <c r="Z11" i="71"/>
  <c r="AA11" i="71"/>
  <c r="AC11" i="71"/>
  <c r="AD11" i="71"/>
  <c r="AE11" i="71"/>
  <c r="AF11" i="71"/>
  <c r="AG11" i="71"/>
  <c r="C14" i="71"/>
  <c r="D14" i="71"/>
  <c r="E14" i="71"/>
  <c r="F14" i="71"/>
  <c r="H14" i="71"/>
  <c r="I14" i="71"/>
  <c r="J14" i="71"/>
  <c r="K14" i="71"/>
  <c r="L14" i="71"/>
  <c r="M14" i="71"/>
  <c r="O14" i="71"/>
  <c r="P14" i="71"/>
  <c r="Q14" i="71"/>
  <c r="R14" i="71"/>
  <c r="S14" i="71"/>
  <c r="T14" i="71"/>
  <c r="V14" i="71"/>
  <c r="W14" i="71"/>
  <c r="X14" i="71"/>
  <c r="Y14" i="71"/>
  <c r="Z14" i="71"/>
  <c r="AA14" i="71"/>
  <c r="AC14" i="71"/>
  <c r="AD14" i="71"/>
  <c r="AE14" i="71"/>
  <c r="AF14" i="71"/>
  <c r="AG14" i="71"/>
  <c r="C15" i="71"/>
  <c r="D15" i="71"/>
  <c r="E15" i="71"/>
  <c r="F15" i="71"/>
  <c r="H15" i="71"/>
  <c r="I15" i="71"/>
  <c r="J15" i="71"/>
  <c r="K15" i="71"/>
  <c r="L15" i="71"/>
  <c r="M15" i="71"/>
  <c r="O15" i="71"/>
  <c r="P15" i="71"/>
  <c r="Q15" i="71"/>
  <c r="R15" i="71"/>
  <c r="S15" i="71"/>
  <c r="T15" i="71"/>
  <c r="V15" i="71"/>
  <c r="W15" i="71"/>
  <c r="X15" i="71"/>
  <c r="Y15" i="71"/>
  <c r="Z15" i="71"/>
  <c r="AA15" i="71"/>
  <c r="AC15" i="71"/>
  <c r="AD15" i="71"/>
  <c r="AE15" i="71"/>
  <c r="AF15" i="71"/>
  <c r="AG15" i="71"/>
  <c r="C16" i="71"/>
  <c r="D16" i="71"/>
  <c r="E16" i="71"/>
  <c r="F16" i="71"/>
  <c r="H16" i="71"/>
  <c r="I16" i="71"/>
  <c r="J16" i="71"/>
  <c r="K16" i="71"/>
  <c r="L16" i="71"/>
  <c r="M16" i="71"/>
  <c r="O16" i="71"/>
  <c r="P16" i="71"/>
  <c r="Q16" i="71"/>
  <c r="R16" i="71"/>
  <c r="S16" i="71"/>
  <c r="T16" i="71"/>
  <c r="V16" i="71"/>
  <c r="W16" i="71"/>
  <c r="X16" i="71"/>
  <c r="Y16" i="71"/>
  <c r="Z16" i="71"/>
  <c r="AA16" i="71"/>
  <c r="AC16" i="71"/>
  <c r="AD16" i="71"/>
  <c r="AE16" i="71"/>
  <c r="AF16" i="71"/>
  <c r="AG16" i="71"/>
  <c r="C17" i="71"/>
  <c r="D17" i="71"/>
  <c r="E17" i="71"/>
  <c r="F17" i="71"/>
  <c r="H17" i="71"/>
  <c r="I17" i="71"/>
  <c r="J17" i="71"/>
  <c r="K17" i="71"/>
  <c r="L17" i="71"/>
  <c r="M17" i="71"/>
  <c r="O17" i="71"/>
  <c r="P17" i="71"/>
  <c r="Q17" i="71"/>
  <c r="R17" i="71"/>
  <c r="S17" i="71"/>
  <c r="T17" i="71"/>
  <c r="V17" i="71"/>
  <c r="W17" i="71"/>
  <c r="X17" i="71"/>
  <c r="Y17" i="71"/>
  <c r="Z17" i="71"/>
  <c r="AA17" i="71"/>
  <c r="AC17" i="71"/>
  <c r="AD17" i="71"/>
  <c r="AE17" i="71"/>
  <c r="AF17" i="71"/>
  <c r="AG17" i="71"/>
  <c r="C18" i="71"/>
  <c r="D18" i="71"/>
  <c r="E18" i="71"/>
  <c r="F18" i="71"/>
  <c r="H18" i="71"/>
  <c r="I18" i="71"/>
  <c r="J18" i="71"/>
  <c r="K18" i="71"/>
  <c r="L18" i="71"/>
  <c r="M18" i="71"/>
  <c r="O18" i="71"/>
  <c r="P18" i="71"/>
  <c r="Q18" i="71"/>
  <c r="R18" i="71"/>
  <c r="S18" i="71"/>
  <c r="T18" i="71"/>
  <c r="V18" i="71"/>
  <c r="W18" i="71"/>
  <c r="X18" i="71"/>
  <c r="Y18" i="71"/>
  <c r="Z18" i="71"/>
  <c r="AA18" i="71"/>
  <c r="AC18" i="71"/>
  <c r="AD18" i="71"/>
  <c r="AE18" i="71"/>
  <c r="AF18" i="71"/>
  <c r="AG18" i="71"/>
  <c r="C19" i="71"/>
  <c r="D19" i="71"/>
  <c r="E19" i="71"/>
  <c r="F19" i="71"/>
  <c r="H19" i="71"/>
  <c r="I19" i="71"/>
  <c r="J19" i="71"/>
  <c r="K19" i="71"/>
  <c r="L19" i="71"/>
  <c r="M19" i="71"/>
  <c r="O19" i="71"/>
  <c r="P19" i="71"/>
  <c r="Q19" i="71"/>
  <c r="R19" i="71"/>
  <c r="S19" i="71"/>
  <c r="T19" i="71"/>
  <c r="V19" i="71"/>
  <c r="W19" i="71"/>
  <c r="X19" i="71"/>
  <c r="Y19" i="71"/>
  <c r="Z19" i="71"/>
  <c r="AA19" i="71"/>
  <c r="AC19" i="71"/>
  <c r="AD19" i="71"/>
  <c r="AE19" i="71"/>
  <c r="AF19" i="71"/>
  <c r="AG19" i="71"/>
  <c r="C20" i="71"/>
  <c r="D20" i="71"/>
  <c r="E20" i="71"/>
  <c r="F20" i="71"/>
  <c r="H20" i="71"/>
  <c r="I20" i="71"/>
  <c r="J20" i="71"/>
  <c r="K20" i="71"/>
  <c r="L20" i="71"/>
  <c r="M20" i="71"/>
  <c r="O20" i="71"/>
  <c r="P20" i="71"/>
  <c r="Q20" i="71"/>
  <c r="R20" i="71"/>
  <c r="S20" i="71"/>
  <c r="T20" i="71"/>
  <c r="V20" i="71"/>
  <c r="W20" i="71"/>
  <c r="X20" i="71"/>
  <c r="Y20" i="71"/>
  <c r="Z20" i="71"/>
  <c r="AA20" i="71"/>
  <c r="AC20" i="71"/>
  <c r="AD20" i="71"/>
  <c r="AE20" i="71"/>
  <c r="AF20" i="71"/>
  <c r="AG20" i="71"/>
  <c r="C21" i="71"/>
  <c r="D21" i="71"/>
  <c r="E21" i="71"/>
  <c r="F21" i="71"/>
  <c r="H21" i="71"/>
  <c r="I21" i="71"/>
  <c r="J21" i="71"/>
  <c r="K21" i="71"/>
  <c r="L21" i="71"/>
  <c r="M21" i="71"/>
  <c r="O21" i="71"/>
  <c r="P21" i="71"/>
  <c r="Q21" i="71"/>
  <c r="R21" i="71"/>
  <c r="S21" i="71"/>
  <c r="T21" i="71"/>
  <c r="V21" i="71"/>
  <c r="W21" i="71"/>
  <c r="X21" i="71"/>
  <c r="Y21" i="71"/>
  <c r="Z21" i="71"/>
  <c r="AA21" i="71"/>
  <c r="AC21" i="71"/>
  <c r="AD21" i="71"/>
  <c r="AE21" i="71"/>
  <c r="AF21" i="71"/>
  <c r="AG21" i="71"/>
  <c r="C22" i="71"/>
  <c r="D22" i="71"/>
  <c r="E22" i="71"/>
  <c r="F22" i="71"/>
  <c r="H22" i="71"/>
  <c r="I22" i="71"/>
  <c r="J22" i="71"/>
  <c r="K22" i="71"/>
  <c r="L22" i="71"/>
  <c r="M22" i="71"/>
  <c r="O22" i="71"/>
  <c r="P22" i="71"/>
  <c r="Q22" i="71"/>
  <c r="R22" i="71"/>
  <c r="S22" i="71"/>
  <c r="T22" i="71"/>
  <c r="V22" i="71"/>
  <c r="W22" i="71"/>
  <c r="X22" i="71"/>
  <c r="Y22" i="71"/>
  <c r="Z22" i="71"/>
  <c r="AA22" i="71"/>
  <c r="AC22" i="71"/>
  <c r="AD22" i="71"/>
  <c r="AE22" i="71"/>
  <c r="AF22" i="71"/>
  <c r="AG22" i="71"/>
  <c r="C23" i="71"/>
  <c r="D23" i="71"/>
  <c r="E23" i="71"/>
  <c r="F23" i="71"/>
  <c r="H23" i="71"/>
  <c r="I23" i="71"/>
  <c r="J23" i="71"/>
  <c r="K23" i="71"/>
  <c r="L23" i="71"/>
  <c r="M23" i="71"/>
  <c r="O23" i="71"/>
  <c r="P23" i="71"/>
  <c r="Q23" i="71"/>
  <c r="R23" i="71"/>
  <c r="S23" i="71"/>
  <c r="T23" i="71"/>
  <c r="V23" i="71"/>
  <c r="W23" i="71"/>
  <c r="X23" i="71"/>
  <c r="Y23" i="71"/>
  <c r="Z23" i="71"/>
  <c r="AA23" i="71"/>
  <c r="AC23" i="71"/>
  <c r="AD23" i="71"/>
  <c r="AE23" i="71"/>
  <c r="AF23" i="71"/>
  <c r="AG23" i="71"/>
  <c r="C24" i="71"/>
  <c r="D24" i="71"/>
  <c r="E24" i="71"/>
  <c r="F24" i="71"/>
  <c r="H24" i="71"/>
  <c r="I24" i="71"/>
  <c r="J24" i="71"/>
  <c r="K24" i="71"/>
  <c r="L24" i="71"/>
  <c r="M24" i="71"/>
  <c r="O24" i="71"/>
  <c r="P24" i="71"/>
  <c r="Q24" i="71"/>
  <c r="R24" i="71"/>
  <c r="S24" i="71"/>
  <c r="T24" i="71"/>
  <c r="V24" i="71"/>
  <c r="W24" i="71"/>
  <c r="X24" i="71"/>
  <c r="Y24" i="71"/>
  <c r="Z24" i="71"/>
  <c r="AA24" i="71"/>
  <c r="AC24" i="71"/>
  <c r="AD24" i="71"/>
  <c r="AE24" i="71"/>
  <c r="AF24" i="71"/>
  <c r="AG24" i="71"/>
  <c r="C27" i="71"/>
  <c r="D27" i="71"/>
  <c r="E27" i="71"/>
  <c r="F27" i="71"/>
  <c r="H27" i="71"/>
  <c r="I27" i="71"/>
  <c r="J27" i="71"/>
  <c r="K27" i="71"/>
  <c r="L27" i="71"/>
  <c r="M27" i="71"/>
  <c r="O27" i="71"/>
  <c r="P27" i="71"/>
  <c r="Q27" i="71"/>
  <c r="R27" i="71"/>
  <c r="S27" i="71"/>
  <c r="T27" i="71"/>
  <c r="V27" i="71"/>
  <c r="W27" i="71"/>
  <c r="X27" i="71"/>
  <c r="Y27" i="71"/>
  <c r="Z27" i="71"/>
  <c r="AA27" i="71"/>
  <c r="AC27" i="71"/>
  <c r="AD27" i="71"/>
  <c r="AE27" i="71"/>
  <c r="AF27" i="71"/>
  <c r="AG27" i="71"/>
  <c r="C28" i="71"/>
  <c r="D28" i="71"/>
  <c r="E28" i="71"/>
  <c r="F28" i="71"/>
  <c r="H28" i="71"/>
  <c r="I28" i="71"/>
  <c r="J28" i="71"/>
  <c r="K28" i="71"/>
  <c r="L28" i="71"/>
  <c r="M28" i="71"/>
  <c r="O28" i="71"/>
  <c r="P28" i="71"/>
  <c r="Q28" i="71"/>
  <c r="R28" i="71"/>
  <c r="S28" i="71"/>
  <c r="T28" i="71"/>
  <c r="V28" i="71"/>
  <c r="W28" i="71"/>
  <c r="X28" i="71"/>
  <c r="Y28" i="71"/>
  <c r="Z28" i="71"/>
  <c r="AA28" i="71"/>
  <c r="AC28" i="71"/>
  <c r="AD28" i="71"/>
  <c r="AE28" i="71"/>
  <c r="AF28" i="71"/>
  <c r="AG28" i="71"/>
  <c r="C29" i="71"/>
  <c r="D29" i="71"/>
  <c r="E29" i="71"/>
  <c r="F29" i="71"/>
  <c r="H29" i="71"/>
  <c r="I29" i="71"/>
  <c r="J29" i="71"/>
  <c r="K29" i="71"/>
  <c r="L29" i="71"/>
  <c r="M29" i="71"/>
  <c r="O29" i="71"/>
  <c r="P29" i="71"/>
  <c r="Q29" i="71"/>
  <c r="R29" i="71"/>
  <c r="S29" i="71"/>
  <c r="T29" i="71"/>
  <c r="V29" i="71"/>
  <c r="W29" i="71"/>
  <c r="X29" i="71"/>
  <c r="Y29" i="71"/>
  <c r="Z29" i="71"/>
  <c r="AA29" i="71"/>
  <c r="AC29" i="71"/>
  <c r="AD29" i="71"/>
  <c r="AE29" i="71"/>
  <c r="AF29" i="71"/>
  <c r="AG29" i="71"/>
  <c r="C30" i="71"/>
  <c r="D30" i="71"/>
  <c r="E30" i="71"/>
  <c r="F30" i="71"/>
  <c r="H30" i="71"/>
  <c r="I30" i="71"/>
  <c r="J30" i="71"/>
  <c r="K30" i="71"/>
  <c r="L30" i="71"/>
  <c r="M30" i="71"/>
  <c r="O30" i="71"/>
  <c r="P30" i="71"/>
  <c r="Q30" i="71"/>
  <c r="R30" i="71"/>
  <c r="S30" i="71"/>
  <c r="T30" i="71"/>
  <c r="V30" i="71"/>
  <c r="W30" i="71"/>
  <c r="X30" i="71"/>
  <c r="Y30" i="71"/>
  <c r="Z30" i="71"/>
  <c r="AA30" i="71"/>
  <c r="AC30" i="71"/>
  <c r="AD30" i="71"/>
  <c r="AE30" i="71"/>
  <c r="AF30" i="71"/>
  <c r="AG30" i="71"/>
  <c r="C31" i="71"/>
  <c r="D31" i="71"/>
  <c r="E31" i="71"/>
  <c r="F31" i="71"/>
  <c r="H31" i="71"/>
  <c r="I31" i="71"/>
  <c r="J31" i="71"/>
  <c r="K31" i="71"/>
  <c r="L31" i="71"/>
  <c r="M31" i="71"/>
  <c r="O31" i="71"/>
  <c r="P31" i="71"/>
  <c r="Q31" i="71"/>
  <c r="R31" i="71"/>
  <c r="S31" i="71"/>
  <c r="T31" i="71"/>
  <c r="V31" i="71"/>
  <c r="W31" i="71"/>
  <c r="X31" i="71"/>
  <c r="Y31" i="71"/>
  <c r="Z31" i="71"/>
  <c r="AA31" i="71"/>
  <c r="AC31" i="71"/>
  <c r="AD31" i="71"/>
  <c r="AE31" i="71"/>
  <c r="AF31" i="71"/>
  <c r="AG31" i="71"/>
  <c r="AG4" i="71"/>
  <c r="AF4" i="71"/>
  <c r="AE4" i="71"/>
  <c r="AD4" i="71"/>
  <c r="AC4" i="71"/>
  <c r="AA4" i="71"/>
  <c r="Z4" i="71"/>
  <c r="Y4" i="71"/>
  <c r="X4" i="71"/>
  <c r="W4" i="71"/>
  <c r="V4" i="71"/>
  <c r="T4" i="71"/>
  <c r="S4" i="71"/>
  <c r="R4" i="71"/>
  <c r="Q4" i="71"/>
  <c r="P4" i="71"/>
  <c r="O4" i="71"/>
  <c r="M4" i="71"/>
  <c r="L4" i="71"/>
  <c r="K4" i="71"/>
  <c r="J4" i="71"/>
  <c r="I4" i="71"/>
  <c r="H4" i="71"/>
  <c r="F4" i="71"/>
  <c r="E4" i="71"/>
  <c r="D4" i="71"/>
  <c r="C4" i="71"/>
  <c r="AG3" i="71"/>
  <c r="AF3" i="71"/>
  <c r="AE3" i="71"/>
  <c r="AD3" i="71"/>
  <c r="AC3" i="71"/>
  <c r="AA3" i="71"/>
  <c r="Z3" i="71"/>
  <c r="Y3" i="71"/>
  <c r="X3" i="71"/>
  <c r="W3" i="71"/>
  <c r="V3" i="71"/>
  <c r="T3" i="71"/>
  <c r="S3" i="71"/>
  <c r="R3" i="71"/>
  <c r="Q3" i="71"/>
  <c r="P3" i="71"/>
  <c r="O3" i="71"/>
  <c r="M3" i="71"/>
  <c r="L3" i="71"/>
  <c r="K3" i="71"/>
  <c r="J3" i="71"/>
  <c r="I3" i="71"/>
  <c r="H3" i="71"/>
  <c r="F3" i="71"/>
  <c r="E3" i="71"/>
  <c r="D3" i="71"/>
  <c r="C3" i="71"/>
  <c r="C5" i="70"/>
  <c r="D5" i="70"/>
  <c r="E5" i="70"/>
  <c r="F5" i="70"/>
  <c r="H5" i="70"/>
  <c r="I5" i="70"/>
  <c r="J5" i="70"/>
  <c r="K5" i="70"/>
  <c r="L5" i="70"/>
  <c r="M5" i="70"/>
  <c r="O5" i="70"/>
  <c r="P5" i="70"/>
  <c r="Q5" i="70"/>
  <c r="R5" i="70"/>
  <c r="S5" i="70"/>
  <c r="T5" i="70"/>
  <c r="V5" i="70"/>
  <c r="W5" i="70"/>
  <c r="X5" i="70"/>
  <c r="Y5" i="70"/>
  <c r="Z5" i="70"/>
  <c r="AA5" i="70"/>
  <c r="AC5" i="70"/>
  <c r="AD5" i="70"/>
  <c r="AE5" i="70"/>
  <c r="AF5" i="70"/>
  <c r="AG5" i="70"/>
  <c r="C6" i="70"/>
  <c r="D6" i="70"/>
  <c r="E6" i="70"/>
  <c r="F6" i="70"/>
  <c r="H6" i="70"/>
  <c r="I6" i="70"/>
  <c r="J6" i="70"/>
  <c r="K6" i="70"/>
  <c r="L6" i="70"/>
  <c r="M6" i="70"/>
  <c r="O6" i="70"/>
  <c r="P6" i="70"/>
  <c r="Q6" i="70"/>
  <c r="R6" i="70"/>
  <c r="S6" i="70"/>
  <c r="T6" i="70"/>
  <c r="V6" i="70"/>
  <c r="W6" i="70"/>
  <c r="X6" i="70"/>
  <c r="Y6" i="70"/>
  <c r="Z6" i="70"/>
  <c r="AA6" i="70"/>
  <c r="AC6" i="70"/>
  <c r="AD6" i="70"/>
  <c r="AE6" i="70"/>
  <c r="AF6" i="70"/>
  <c r="AG6" i="70"/>
  <c r="C7" i="70"/>
  <c r="D7" i="70"/>
  <c r="E7" i="70"/>
  <c r="F7" i="70"/>
  <c r="H7" i="70"/>
  <c r="I7" i="70"/>
  <c r="J7" i="70"/>
  <c r="K7" i="70"/>
  <c r="L7" i="70"/>
  <c r="M7" i="70"/>
  <c r="O7" i="70"/>
  <c r="P7" i="70"/>
  <c r="Q7" i="70"/>
  <c r="R7" i="70"/>
  <c r="S7" i="70"/>
  <c r="T7" i="70"/>
  <c r="V7" i="70"/>
  <c r="W7" i="70"/>
  <c r="X7" i="70"/>
  <c r="Y7" i="70"/>
  <c r="Z7" i="70"/>
  <c r="AA7" i="70"/>
  <c r="AC7" i="70"/>
  <c r="AD7" i="70"/>
  <c r="AE7" i="70"/>
  <c r="AF7" i="70"/>
  <c r="AG7" i="70"/>
  <c r="C8" i="70"/>
  <c r="D8" i="70"/>
  <c r="E8" i="70"/>
  <c r="F8" i="70"/>
  <c r="H8" i="70"/>
  <c r="I8" i="70"/>
  <c r="J8" i="70"/>
  <c r="K8" i="70"/>
  <c r="L8" i="70"/>
  <c r="M8" i="70"/>
  <c r="O8" i="70"/>
  <c r="P8" i="70"/>
  <c r="Q8" i="70"/>
  <c r="R8" i="70"/>
  <c r="S8" i="70"/>
  <c r="T8" i="70"/>
  <c r="V8" i="70"/>
  <c r="W8" i="70"/>
  <c r="X8" i="70"/>
  <c r="Y8" i="70"/>
  <c r="Z8" i="70"/>
  <c r="AA8" i="70"/>
  <c r="AC8" i="70"/>
  <c r="AD8" i="70"/>
  <c r="AE8" i="70"/>
  <c r="AF8" i="70"/>
  <c r="AG8" i="70"/>
  <c r="C9" i="70"/>
  <c r="D9" i="70"/>
  <c r="E9" i="70"/>
  <c r="F9" i="70"/>
  <c r="H9" i="70"/>
  <c r="I9" i="70"/>
  <c r="J9" i="70"/>
  <c r="K9" i="70"/>
  <c r="L9" i="70"/>
  <c r="M9" i="70"/>
  <c r="O9" i="70"/>
  <c r="P9" i="70"/>
  <c r="Q9" i="70"/>
  <c r="R9" i="70"/>
  <c r="S9" i="70"/>
  <c r="T9" i="70"/>
  <c r="V9" i="70"/>
  <c r="W9" i="70"/>
  <c r="X9" i="70"/>
  <c r="Y9" i="70"/>
  <c r="Z9" i="70"/>
  <c r="AA9" i="70"/>
  <c r="AC9" i="70"/>
  <c r="AD9" i="70"/>
  <c r="AE9" i="70"/>
  <c r="AF9" i="70"/>
  <c r="AG9" i="70"/>
  <c r="C10" i="70"/>
  <c r="D10" i="70"/>
  <c r="E10" i="70"/>
  <c r="F10" i="70"/>
  <c r="H10" i="70"/>
  <c r="I10" i="70"/>
  <c r="J10" i="70"/>
  <c r="K10" i="70"/>
  <c r="L10" i="70"/>
  <c r="M10" i="70"/>
  <c r="O10" i="70"/>
  <c r="P10" i="70"/>
  <c r="Q10" i="70"/>
  <c r="R10" i="70"/>
  <c r="S10" i="70"/>
  <c r="T10" i="70"/>
  <c r="V10" i="70"/>
  <c r="W10" i="70"/>
  <c r="X10" i="70"/>
  <c r="Y10" i="70"/>
  <c r="Z10" i="70"/>
  <c r="AA10" i="70"/>
  <c r="AC10" i="70"/>
  <c r="AD10" i="70"/>
  <c r="AE10" i="70"/>
  <c r="AF10" i="70"/>
  <c r="AG10" i="70"/>
  <c r="C11" i="70"/>
  <c r="D11" i="70"/>
  <c r="E11" i="70"/>
  <c r="F11" i="70"/>
  <c r="H11" i="70"/>
  <c r="I11" i="70"/>
  <c r="J11" i="70"/>
  <c r="K11" i="70"/>
  <c r="L11" i="70"/>
  <c r="M11" i="70"/>
  <c r="O11" i="70"/>
  <c r="P11" i="70"/>
  <c r="Q11" i="70"/>
  <c r="R11" i="70"/>
  <c r="S11" i="70"/>
  <c r="T11" i="70"/>
  <c r="V11" i="70"/>
  <c r="W11" i="70"/>
  <c r="X11" i="70"/>
  <c r="Y11" i="70"/>
  <c r="Z11" i="70"/>
  <c r="AA11" i="70"/>
  <c r="AC11" i="70"/>
  <c r="AD11" i="70"/>
  <c r="AE11" i="70"/>
  <c r="AF11" i="70"/>
  <c r="AG11" i="70"/>
  <c r="C14" i="70"/>
  <c r="D14" i="70"/>
  <c r="E14" i="70"/>
  <c r="F14" i="70"/>
  <c r="H14" i="70"/>
  <c r="I14" i="70"/>
  <c r="J14" i="70"/>
  <c r="K14" i="70"/>
  <c r="L14" i="70"/>
  <c r="M14" i="70"/>
  <c r="O14" i="70"/>
  <c r="P14" i="70"/>
  <c r="Q14" i="70"/>
  <c r="R14" i="70"/>
  <c r="S14" i="70"/>
  <c r="T14" i="70"/>
  <c r="V14" i="70"/>
  <c r="W14" i="70"/>
  <c r="X14" i="70"/>
  <c r="Y14" i="70"/>
  <c r="Z14" i="70"/>
  <c r="AA14" i="70"/>
  <c r="AC14" i="70"/>
  <c r="AD14" i="70"/>
  <c r="AE14" i="70"/>
  <c r="AF14" i="70"/>
  <c r="AG14" i="70"/>
  <c r="C15" i="70"/>
  <c r="D15" i="70"/>
  <c r="E15" i="70"/>
  <c r="F15" i="70"/>
  <c r="H15" i="70"/>
  <c r="I15" i="70"/>
  <c r="J15" i="70"/>
  <c r="K15" i="70"/>
  <c r="L15" i="70"/>
  <c r="M15" i="70"/>
  <c r="O15" i="70"/>
  <c r="P15" i="70"/>
  <c r="Q15" i="70"/>
  <c r="R15" i="70"/>
  <c r="S15" i="70"/>
  <c r="T15" i="70"/>
  <c r="V15" i="70"/>
  <c r="W15" i="70"/>
  <c r="X15" i="70"/>
  <c r="Y15" i="70"/>
  <c r="Z15" i="70"/>
  <c r="AA15" i="70"/>
  <c r="AC15" i="70"/>
  <c r="AD15" i="70"/>
  <c r="AE15" i="70"/>
  <c r="AF15" i="70"/>
  <c r="AG15" i="70"/>
  <c r="C16" i="70"/>
  <c r="D16" i="70"/>
  <c r="E16" i="70"/>
  <c r="F16" i="70"/>
  <c r="H16" i="70"/>
  <c r="I16" i="70"/>
  <c r="J16" i="70"/>
  <c r="K16" i="70"/>
  <c r="L16" i="70"/>
  <c r="M16" i="70"/>
  <c r="O16" i="70"/>
  <c r="P16" i="70"/>
  <c r="Q16" i="70"/>
  <c r="R16" i="70"/>
  <c r="S16" i="70"/>
  <c r="T16" i="70"/>
  <c r="V16" i="70"/>
  <c r="W16" i="70"/>
  <c r="X16" i="70"/>
  <c r="Y16" i="70"/>
  <c r="Z16" i="70"/>
  <c r="AA16" i="70"/>
  <c r="AC16" i="70"/>
  <c r="AD16" i="70"/>
  <c r="AE16" i="70"/>
  <c r="AF16" i="70"/>
  <c r="AG16" i="70"/>
  <c r="C17" i="70"/>
  <c r="D17" i="70"/>
  <c r="E17" i="70"/>
  <c r="F17" i="70"/>
  <c r="H17" i="70"/>
  <c r="I17" i="70"/>
  <c r="J17" i="70"/>
  <c r="K17" i="70"/>
  <c r="L17" i="70"/>
  <c r="M17" i="70"/>
  <c r="O17" i="70"/>
  <c r="P17" i="70"/>
  <c r="Q17" i="70"/>
  <c r="R17" i="70"/>
  <c r="S17" i="70"/>
  <c r="T17" i="70"/>
  <c r="V17" i="70"/>
  <c r="W17" i="70"/>
  <c r="X17" i="70"/>
  <c r="Y17" i="70"/>
  <c r="Z17" i="70"/>
  <c r="AA17" i="70"/>
  <c r="AC17" i="70"/>
  <c r="AD17" i="70"/>
  <c r="AE17" i="70"/>
  <c r="AF17" i="70"/>
  <c r="AG17" i="70"/>
  <c r="C18" i="70"/>
  <c r="D18" i="70"/>
  <c r="E18" i="70"/>
  <c r="F18" i="70"/>
  <c r="H18" i="70"/>
  <c r="I18" i="70"/>
  <c r="J18" i="70"/>
  <c r="K18" i="70"/>
  <c r="L18" i="70"/>
  <c r="M18" i="70"/>
  <c r="O18" i="70"/>
  <c r="P18" i="70"/>
  <c r="Q18" i="70"/>
  <c r="R18" i="70"/>
  <c r="S18" i="70"/>
  <c r="T18" i="70"/>
  <c r="V18" i="70"/>
  <c r="W18" i="70"/>
  <c r="X18" i="70"/>
  <c r="Y18" i="70"/>
  <c r="Z18" i="70"/>
  <c r="AA18" i="70"/>
  <c r="AC18" i="70"/>
  <c r="AD18" i="70"/>
  <c r="AE18" i="70"/>
  <c r="AF18" i="70"/>
  <c r="AG18" i="70"/>
  <c r="C19" i="70"/>
  <c r="D19" i="70"/>
  <c r="E19" i="70"/>
  <c r="F19" i="70"/>
  <c r="H19" i="70"/>
  <c r="I19" i="70"/>
  <c r="J19" i="70"/>
  <c r="K19" i="70"/>
  <c r="L19" i="70"/>
  <c r="M19" i="70"/>
  <c r="O19" i="70"/>
  <c r="P19" i="70"/>
  <c r="Q19" i="70"/>
  <c r="R19" i="70"/>
  <c r="S19" i="70"/>
  <c r="T19" i="70"/>
  <c r="V19" i="70"/>
  <c r="W19" i="70"/>
  <c r="X19" i="70"/>
  <c r="Y19" i="70"/>
  <c r="Z19" i="70"/>
  <c r="AA19" i="70"/>
  <c r="AC19" i="70"/>
  <c r="AD19" i="70"/>
  <c r="AE19" i="70"/>
  <c r="AF19" i="70"/>
  <c r="AG19" i="70"/>
  <c r="C20" i="70"/>
  <c r="D20" i="70"/>
  <c r="E20" i="70"/>
  <c r="F20" i="70"/>
  <c r="H20" i="70"/>
  <c r="I20" i="70"/>
  <c r="J20" i="70"/>
  <c r="K20" i="70"/>
  <c r="L20" i="70"/>
  <c r="M20" i="70"/>
  <c r="O20" i="70"/>
  <c r="P20" i="70"/>
  <c r="Q20" i="70"/>
  <c r="R20" i="70"/>
  <c r="S20" i="70"/>
  <c r="T20" i="70"/>
  <c r="V20" i="70"/>
  <c r="W20" i="70"/>
  <c r="X20" i="70"/>
  <c r="Y20" i="70"/>
  <c r="Z20" i="70"/>
  <c r="AA20" i="70"/>
  <c r="AC20" i="70"/>
  <c r="AD20" i="70"/>
  <c r="AE20" i="70"/>
  <c r="AF20" i="70"/>
  <c r="AG20" i="70"/>
  <c r="C21" i="70"/>
  <c r="D21" i="70"/>
  <c r="E21" i="70"/>
  <c r="F21" i="70"/>
  <c r="H21" i="70"/>
  <c r="I21" i="70"/>
  <c r="J21" i="70"/>
  <c r="K21" i="70"/>
  <c r="L21" i="70"/>
  <c r="M21" i="70"/>
  <c r="O21" i="70"/>
  <c r="P21" i="70"/>
  <c r="Q21" i="70"/>
  <c r="R21" i="70"/>
  <c r="S21" i="70"/>
  <c r="T21" i="70"/>
  <c r="V21" i="70"/>
  <c r="W21" i="70"/>
  <c r="X21" i="70"/>
  <c r="Y21" i="70"/>
  <c r="Z21" i="70"/>
  <c r="AA21" i="70"/>
  <c r="AC21" i="70"/>
  <c r="AD21" i="70"/>
  <c r="AE21" i="70"/>
  <c r="AF21" i="70"/>
  <c r="AG21" i="70"/>
  <c r="C22" i="70"/>
  <c r="D22" i="70"/>
  <c r="E22" i="70"/>
  <c r="F22" i="70"/>
  <c r="H22" i="70"/>
  <c r="I22" i="70"/>
  <c r="J22" i="70"/>
  <c r="K22" i="70"/>
  <c r="L22" i="70"/>
  <c r="M22" i="70"/>
  <c r="O22" i="70"/>
  <c r="P22" i="70"/>
  <c r="Q22" i="70"/>
  <c r="R22" i="70"/>
  <c r="S22" i="70"/>
  <c r="T22" i="70"/>
  <c r="V22" i="70"/>
  <c r="W22" i="70"/>
  <c r="X22" i="70"/>
  <c r="Y22" i="70"/>
  <c r="Z22" i="70"/>
  <c r="AA22" i="70"/>
  <c r="AC22" i="70"/>
  <c r="AD22" i="70"/>
  <c r="AE22" i="70"/>
  <c r="AF22" i="70"/>
  <c r="AG22" i="70"/>
  <c r="C23" i="70"/>
  <c r="D23" i="70"/>
  <c r="E23" i="70"/>
  <c r="F23" i="70"/>
  <c r="H23" i="70"/>
  <c r="I23" i="70"/>
  <c r="J23" i="70"/>
  <c r="K23" i="70"/>
  <c r="L23" i="70"/>
  <c r="M23" i="70"/>
  <c r="O23" i="70"/>
  <c r="P23" i="70"/>
  <c r="Q23" i="70"/>
  <c r="R23" i="70"/>
  <c r="S23" i="70"/>
  <c r="T23" i="70"/>
  <c r="V23" i="70"/>
  <c r="W23" i="70"/>
  <c r="X23" i="70"/>
  <c r="Y23" i="70"/>
  <c r="Z23" i="70"/>
  <c r="AA23" i="70"/>
  <c r="AC23" i="70"/>
  <c r="AD23" i="70"/>
  <c r="AE23" i="70"/>
  <c r="AF23" i="70"/>
  <c r="AG23" i="70"/>
  <c r="C24" i="70"/>
  <c r="D24" i="70"/>
  <c r="E24" i="70"/>
  <c r="F24" i="70"/>
  <c r="H24" i="70"/>
  <c r="I24" i="70"/>
  <c r="J24" i="70"/>
  <c r="K24" i="70"/>
  <c r="L24" i="70"/>
  <c r="M24" i="70"/>
  <c r="O24" i="70"/>
  <c r="P24" i="70"/>
  <c r="Q24" i="70"/>
  <c r="R24" i="70"/>
  <c r="S24" i="70"/>
  <c r="T24" i="70"/>
  <c r="V24" i="70"/>
  <c r="W24" i="70"/>
  <c r="X24" i="70"/>
  <c r="Y24" i="70"/>
  <c r="Z24" i="70"/>
  <c r="AA24" i="70"/>
  <c r="AC24" i="70"/>
  <c r="AD24" i="70"/>
  <c r="AE24" i="70"/>
  <c r="AF24" i="70"/>
  <c r="AG24" i="70"/>
  <c r="C27" i="70"/>
  <c r="D27" i="70"/>
  <c r="E27" i="70"/>
  <c r="F27" i="70"/>
  <c r="H27" i="70"/>
  <c r="I27" i="70"/>
  <c r="J27" i="70"/>
  <c r="K27" i="70"/>
  <c r="L27" i="70"/>
  <c r="M27" i="70"/>
  <c r="O27" i="70"/>
  <c r="P27" i="70"/>
  <c r="Q27" i="70"/>
  <c r="R27" i="70"/>
  <c r="S27" i="70"/>
  <c r="T27" i="70"/>
  <c r="V27" i="70"/>
  <c r="W27" i="70"/>
  <c r="X27" i="70"/>
  <c r="Y27" i="70"/>
  <c r="Z27" i="70"/>
  <c r="AA27" i="70"/>
  <c r="AC27" i="70"/>
  <c r="AD27" i="70"/>
  <c r="AE27" i="70"/>
  <c r="AF27" i="70"/>
  <c r="AG27" i="70"/>
  <c r="C28" i="70"/>
  <c r="D28" i="70"/>
  <c r="E28" i="70"/>
  <c r="F28" i="70"/>
  <c r="H28" i="70"/>
  <c r="I28" i="70"/>
  <c r="J28" i="70"/>
  <c r="K28" i="70"/>
  <c r="L28" i="70"/>
  <c r="M28" i="70"/>
  <c r="O28" i="70"/>
  <c r="P28" i="70"/>
  <c r="Q28" i="70"/>
  <c r="R28" i="70"/>
  <c r="S28" i="70"/>
  <c r="T28" i="70"/>
  <c r="V28" i="70"/>
  <c r="W28" i="70"/>
  <c r="X28" i="70"/>
  <c r="Y28" i="70"/>
  <c r="Z28" i="70"/>
  <c r="AA28" i="70"/>
  <c r="AC28" i="70"/>
  <c r="AD28" i="70"/>
  <c r="AE28" i="70"/>
  <c r="AF28" i="70"/>
  <c r="AG28" i="70"/>
  <c r="C29" i="70"/>
  <c r="D29" i="70"/>
  <c r="E29" i="70"/>
  <c r="F29" i="70"/>
  <c r="H29" i="70"/>
  <c r="I29" i="70"/>
  <c r="J29" i="70"/>
  <c r="K29" i="70"/>
  <c r="L29" i="70"/>
  <c r="M29" i="70"/>
  <c r="O29" i="70"/>
  <c r="P29" i="70"/>
  <c r="Q29" i="70"/>
  <c r="R29" i="70"/>
  <c r="S29" i="70"/>
  <c r="T29" i="70"/>
  <c r="V29" i="70"/>
  <c r="W29" i="70"/>
  <c r="X29" i="70"/>
  <c r="Y29" i="70"/>
  <c r="Z29" i="70"/>
  <c r="AA29" i="70"/>
  <c r="AC29" i="70"/>
  <c r="AD29" i="70"/>
  <c r="AE29" i="70"/>
  <c r="AF29" i="70"/>
  <c r="AG29" i="70"/>
  <c r="C30" i="70"/>
  <c r="D30" i="70"/>
  <c r="E30" i="70"/>
  <c r="F30" i="70"/>
  <c r="H30" i="70"/>
  <c r="I30" i="70"/>
  <c r="J30" i="70"/>
  <c r="K30" i="70"/>
  <c r="L30" i="70"/>
  <c r="M30" i="70"/>
  <c r="O30" i="70"/>
  <c r="P30" i="70"/>
  <c r="Q30" i="70"/>
  <c r="R30" i="70"/>
  <c r="S30" i="70"/>
  <c r="T30" i="70"/>
  <c r="V30" i="70"/>
  <c r="W30" i="70"/>
  <c r="X30" i="70"/>
  <c r="Y30" i="70"/>
  <c r="Z30" i="70"/>
  <c r="AA30" i="70"/>
  <c r="AC30" i="70"/>
  <c r="AD30" i="70"/>
  <c r="AE30" i="70"/>
  <c r="AF30" i="70"/>
  <c r="AG30" i="70"/>
  <c r="C31" i="70"/>
  <c r="D31" i="70"/>
  <c r="E31" i="70"/>
  <c r="F31" i="70"/>
  <c r="H31" i="70"/>
  <c r="I31" i="70"/>
  <c r="J31" i="70"/>
  <c r="K31" i="70"/>
  <c r="L31" i="70"/>
  <c r="M31" i="70"/>
  <c r="O31" i="70"/>
  <c r="P31" i="70"/>
  <c r="Q31" i="70"/>
  <c r="R31" i="70"/>
  <c r="S31" i="70"/>
  <c r="T31" i="70"/>
  <c r="V31" i="70"/>
  <c r="W31" i="70"/>
  <c r="X31" i="70"/>
  <c r="Y31" i="70"/>
  <c r="Z31" i="70"/>
  <c r="AA31" i="70"/>
  <c r="AC31" i="70"/>
  <c r="AD31" i="70"/>
  <c r="AE31" i="70"/>
  <c r="AF31" i="70"/>
  <c r="AG31" i="70"/>
  <c r="AG4" i="70"/>
  <c r="AF4" i="70"/>
  <c r="AE4" i="70"/>
  <c r="AD4" i="70"/>
  <c r="AC4" i="70"/>
  <c r="AA4" i="70"/>
  <c r="Z4" i="70"/>
  <c r="Y4" i="70"/>
  <c r="X4" i="70"/>
  <c r="W4" i="70"/>
  <c r="V4" i="70"/>
  <c r="T4" i="70"/>
  <c r="S4" i="70"/>
  <c r="R4" i="70"/>
  <c r="Q4" i="70"/>
  <c r="P4" i="70"/>
  <c r="O4" i="70"/>
  <c r="M4" i="70"/>
  <c r="L4" i="70"/>
  <c r="K4" i="70"/>
  <c r="J4" i="70"/>
  <c r="I4" i="70"/>
  <c r="H4" i="70"/>
  <c r="F4" i="70"/>
  <c r="E4" i="70"/>
  <c r="D4" i="70"/>
  <c r="C4" i="70"/>
  <c r="AG3" i="70"/>
  <c r="AF3" i="70"/>
  <c r="AE3" i="70"/>
  <c r="AD3" i="70"/>
  <c r="AC3" i="70"/>
  <c r="AA3" i="70"/>
  <c r="Z3" i="70"/>
  <c r="Y3" i="70"/>
  <c r="X3" i="70"/>
  <c r="W3" i="70"/>
  <c r="V3" i="70"/>
  <c r="T3" i="70"/>
  <c r="S3" i="70"/>
  <c r="R3" i="70"/>
  <c r="Q3" i="70"/>
  <c r="P3" i="70"/>
  <c r="O3" i="70"/>
  <c r="M3" i="70"/>
  <c r="L3" i="70"/>
  <c r="K3" i="70"/>
  <c r="J3" i="70"/>
  <c r="I3" i="70"/>
  <c r="H3" i="70"/>
  <c r="F3" i="70"/>
  <c r="E3" i="70"/>
  <c r="D3" i="70"/>
  <c r="C3" i="70"/>
  <c r="C5" i="69"/>
  <c r="D5" i="69"/>
  <c r="E5" i="69"/>
  <c r="F5" i="69"/>
  <c r="H5" i="69"/>
  <c r="I5" i="69"/>
  <c r="J5" i="69"/>
  <c r="K5" i="69"/>
  <c r="L5" i="69"/>
  <c r="M5" i="69"/>
  <c r="O5" i="69"/>
  <c r="P5" i="69"/>
  <c r="Q5" i="69"/>
  <c r="R5" i="69"/>
  <c r="S5" i="69"/>
  <c r="T5" i="69"/>
  <c r="V5" i="69"/>
  <c r="W5" i="69"/>
  <c r="X5" i="69"/>
  <c r="Y5" i="69"/>
  <c r="Z5" i="69"/>
  <c r="AA5" i="69"/>
  <c r="AC5" i="69"/>
  <c r="AD5" i="69"/>
  <c r="AE5" i="69"/>
  <c r="AF5" i="69"/>
  <c r="AG5" i="69"/>
  <c r="C6" i="69"/>
  <c r="D6" i="69"/>
  <c r="E6" i="69"/>
  <c r="F6" i="69"/>
  <c r="H6" i="69"/>
  <c r="I6" i="69"/>
  <c r="J6" i="69"/>
  <c r="K6" i="69"/>
  <c r="L6" i="69"/>
  <c r="M6" i="69"/>
  <c r="O6" i="69"/>
  <c r="P6" i="69"/>
  <c r="Q6" i="69"/>
  <c r="R6" i="69"/>
  <c r="S6" i="69"/>
  <c r="T6" i="69"/>
  <c r="V6" i="69"/>
  <c r="W6" i="69"/>
  <c r="X6" i="69"/>
  <c r="Y6" i="69"/>
  <c r="Z6" i="69"/>
  <c r="AA6" i="69"/>
  <c r="AC6" i="69"/>
  <c r="AD6" i="69"/>
  <c r="AE6" i="69"/>
  <c r="AF6" i="69"/>
  <c r="AG6" i="69"/>
  <c r="C7" i="69"/>
  <c r="D7" i="69"/>
  <c r="E7" i="69"/>
  <c r="F7" i="69"/>
  <c r="H7" i="69"/>
  <c r="I7" i="69"/>
  <c r="J7" i="69"/>
  <c r="K7" i="69"/>
  <c r="L7" i="69"/>
  <c r="M7" i="69"/>
  <c r="O7" i="69"/>
  <c r="P7" i="69"/>
  <c r="Q7" i="69"/>
  <c r="R7" i="69"/>
  <c r="S7" i="69"/>
  <c r="T7" i="69"/>
  <c r="V7" i="69"/>
  <c r="W7" i="69"/>
  <c r="X7" i="69"/>
  <c r="Y7" i="69"/>
  <c r="Z7" i="69"/>
  <c r="AA7" i="69"/>
  <c r="AC7" i="69"/>
  <c r="AD7" i="69"/>
  <c r="AE7" i="69"/>
  <c r="AF7" i="69"/>
  <c r="AG7" i="69"/>
  <c r="C8" i="69"/>
  <c r="D8" i="69"/>
  <c r="E8" i="69"/>
  <c r="F8" i="69"/>
  <c r="H8" i="69"/>
  <c r="I8" i="69"/>
  <c r="J8" i="69"/>
  <c r="K8" i="69"/>
  <c r="L8" i="69"/>
  <c r="M8" i="69"/>
  <c r="O8" i="69"/>
  <c r="P8" i="69"/>
  <c r="Q8" i="69"/>
  <c r="R8" i="69"/>
  <c r="S8" i="69"/>
  <c r="T8" i="69"/>
  <c r="V8" i="69"/>
  <c r="W8" i="69"/>
  <c r="X8" i="69"/>
  <c r="Y8" i="69"/>
  <c r="Z8" i="69"/>
  <c r="AA8" i="69"/>
  <c r="AC8" i="69"/>
  <c r="AD8" i="69"/>
  <c r="AE8" i="69"/>
  <c r="AF8" i="69"/>
  <c r="AG8" i="69"/>
  <c r="C9" i="69"/>
  <c r="D9" i="69"/>
  <c r="E9" i="69"/>
  <c r="F9" i="69"/>
  <c r="H9" i="69"/>
  <c r="I9" i="69"/>
  <c r="J9" i="69"/>
  <c r="K9" i="69"/>
  <c r="L9" i="69"/>
  <c r="M9" i="69"/>
  <c r="O9" i="69"/>
  <c r="P9" i="69"/>
  <c r="Q9" i="69"/>
  <c r="R9" i="69"/>
  <c r="S9" i="69"/>
  <c r="T9" i="69"/>
  <c r="V9" i="69"/>
  <c r="W9" i="69"/>
  <c r="X9" i="69"/>
  <c r="Y9" i="69"/>
  <c r="Z9" i="69"/>
  <c r="AA9" i="69"/>
  <c r="AC9" i="69"/>
  <c r="AD9" i="69"/>
  <c r="AE9" i="69"/>
  <c r="AF9" i="69"/>
  <c r="AG9" i="69"/>
  <c r="C10" i="69"/>
  <c r="D10" i="69"/>
  <c r="E10" i="69"/>
  <c r="F10" i="69"/>
  <c r="H10" i="69"/>
  <c r="I10" i="69"/>
  <c r="J10" i="69"/>
  <c r="K10" i="69"/>
  <c r="L10" i="69"/>
  <c r="M10" i="69"/>
  <c r="O10" i="69"/>
  <c r="P10" i="69"/>
  <c r="Q10" i="69"/>
  <c r="R10" i="69"/>
  <c r="S10" i="69"/>
  <c r="T10" i="69"/>
  <c r="V10" i="69"/>
  <c r="W10" i="69"/>
  <c r="X10" i="69"/>
  <c r="Y10" i="69"/>
  <c r="Z10" i="69"/>
  <c r="AA10" i="69"/>
  <c r="AC10" i="69"/>
  <c r="AD10" i="69"/>
  <c r="AE10" i="69"/>
  <c r="AF10" i="69"/>
  <c r="AG10" i="69"/>
  <c r="C11" i="69"/>
  <c r="D11" i="69"/>
  <c r="E11" i="69"/>
  <c r="F11" i="69"/>
  <c r="H11" i="69"/>
  <c r="I11" i="69"/>
  <c r="J11" i="69"/>
  <c r="K11" i="69"/>
  <c r="L11" i="69"/>
  <c r="M11" i="69"/>
  <c r="O11" i="69"/>
  <c r="P11" i="69"/>
  <c r="Q11" i="69"/>
  <c r="R11" i="69"/>
  <c r="S11" i="69"/>
  <c r="T11" i="69"/>
  <c r="V11" i="69"/>
  <c r="W11" i="69"/>
  <c r="X11" i="69"/>
  <c r="Y11" i="69"/>
  <c r="Z11" i="69"/>
  <c r="AA11" i="69"/>
  <c r="AC11" i="69"/>
  <c r="AD11" i="69"/>
  <c r="AE11" i="69"/>
  <c r="AF11" i="69"/>
  <c r="AG11" i="69"/>
  <c r="C14" i="69"/>
  <c r="D14" i="69"/>
  <c r="E14" i="69"/>
  <c r="F14" i="69"/>
  <c r="H14" i="69"/>
  <c r="I14" i="69"/>
  <c r="J14" i="69"/>
  <c r="K14" i="69"/>
  <c r="L14" i="69"/>
  <c r="M14" i="69"/>
  <c r="O14" i="69"/>
  <c r="P14" i="69"/>
  <c r="Q14" i="69"/>
  <c r="R14" i="69"/>
  <c r="S14" i="69"/>
  <c r="T14" i="69"/>
  <c r="V14" i="69"/>
  <c r="W14" i="69"/>
  <c r="X14" i="69"/>
  <c r="Y14" i="69"/>
  <c r="Z14" i="69"/>
  <c r="AA14" i="69"/>
  <c r="AC14" i="69"/>
  <c r="AD14" i="69"/>
  <c r="AE14" i="69"/>
  <c r="AF14" i="69"/>
  <c r="AG14" i="69"/>
  <c r="C15" i="69"/>
  <c r="D15" i="69"/>
  <c r="E15" i="69"/>
  <c r="F15" i="69"/>
  <c r="H15" i="69"/>
  <c r="I15" i="69"/>
  <c r="J15" i="69"/>
  <c r="K15" i="69"/>
  <c r="L15" i="69"/>
  <c r="M15" i="69"/>
  <c r="O15" i="69"/>
  <c r="P15" i="69"/>
  <c r="Q15" i="69"/>
  <c r="R15" i="69"/>
  <c r="S15" i="69"/>
  <c r="T15" i="69"/>
  <c r="V15" i="69"/>
  <c r="W15" i="69"/>
  <c r="X15" i="69"/>
  <c r="Y15" i="69"/>
  <c r="Z15" i="69"/>
  <c r="AA15" i="69"/>
  <c r="AC15" i="69"/>
  <c r="AD15" i="69"/>
  <c r="AE15" i="69"/>
  <c r="AF15" i="69"/>
  <c r="AG15" i="69"/>
  <c r="C16" i="69"/>
  <c r="D16" i="69"/>
  <c r="E16" i="69"/>
  <c r="F16" i="69"/>
  <c r="H16" i="69"/>
  <c r="I16" i="69"/>
  <c r="J16" i="69"/>
  <c r="K16" i="69"/>
  <c r="L16" i="69"/>
  <c r="M16" i="69"/>
  <c r="O16" i="69"/>
  <c r="P16" i="69"/>
  <c r="Q16" i="69"/>
  <c r="R16" i="69"/>
  <c r="S16" i="69"/>
  <c r="T16" i="69"/>
  <c r="V16" i="69"/>
  <c r="W16" i="69"/>
  <c r="X16" i="69"/>
  <c r="Y16" i="69"/>
  <c r="Z16" i="69"/>
  <c r="AA16" i="69"/>
  <c r="AC16" i="69"/>
  <c r="AD16" i="69"/>
  <c r="AE16" i="69"/>
  <c r="AF16" i="69"/>
  <c r="AG16" i="69"/>
  <c r="C17" i="69"/>
  <c r="D17" i="69"/>
  <c r="E17" i="69"/>
  <c r="F17" i="69"/>
  <c r="H17" i="69"/>
  <c r="I17" i="69"/>
  <c r="J17" i="69"/>
  <c r="K17" i="69"/>
  <c r="L17" i="69"/>
  <c r="M17" i="69"/>
  <c r="O17" i="69"/>
  <c r="P17" i="69"/>
  <c r="Q17" i="69"/>
  <c r="R17" i="69"/>
  <c r="S17" i="69"/>
  <c r="T17" i="69"/>
  <c r="V17" i="69"/>
  <c r="W17" i="69"/>
  <c r="X17" i="69"/>
  <c r="Y17" i="69"/>
  <c r="Z17" i="69"/>
  <c r="AA17" i="69"/>
  <c r="AC17" i="69"/>
  <c r="AD17" i="69"/>
  <c r="AE17" i="69"/>
  <c r="AF17" i="69"/>
  <c r="AG17" i="69"/>
  <c r="C18" i="69"/>
  <c r="D18" i="69"/>
  <c r="E18" i="69"/>
  <c r="F18" i="69"/>
  <c r="H18" i="69"/>
  <c r="I18" i="69"/>
  <c r="J18" i="69"/>
  <c r="K18" i="69"/>
  <c r="L18" i="69"/>
  <c r="M18" i="69"/>
  <c r="O18" i="69"/>
  <c r="P18" i="69"/>
  <c r="Q18" i="69"/>
  <c r="R18" i="69"/>
  <c r="S18" i="69"/>
  <c r="T18" i="69"/>
  <c r="V18" i="69"/>
  <c r="W18" i="69"/>
  <c r="X18" i="69"/>
  <c r="Y18" i="69"/>
  <c r="Z18" i="69"/>
  <c r="AA18" i="69"/>
  <c r="AC18" i="69"/>
  <c r="AD18" i="69"/>
  <c r="AE18" i="69"/>
  <c r="AF18" i="69"/>
  <c r="AG18" i="69"/>
  <c r="C19" i="69"/>
  <c r="D19" i="69"/>
  <c r="E19" i="69"/>
  <c r="F19" i="69"/>
  <c r="H19" i="69"/>
  <c r="I19" i="69"/>
  <c r="J19" i="69"/>
  <c r="K19" i="69"/>
  <c r="L19" i="69"/>
  <c r="M19" i="69"/>
  <c r="O19" i="69"/>
  <c r="P19" i="69"/>
  <c r="Q19" i="69"/>
  <c r="R19" i="69"/>
  <c r="S19" i="69"/>
  <c r="T19" i="69"/>
  <c r="V19" i="69"/>
  <c r="W19" i="69"/>
  <c r="X19" i="69"/>
  <c r="Y19" i="69"/>
  <c r="Z19" i="69"/>
  <c r="AA19" i="69"/>
  <c r="AC19" i="69"/>
  <c r="AD19" i="69"/>
  <c r="AE19" i="69"/>
  <c r="AF19" i="69"/>
  <c r="AG19" i="69"/>
  <c r="C20" i="69"/>
  <c r="D20" i="69"/>
  <c r="E20" i="69"/>
  <c r="F20" i="69"/>
  <c r="H20" i="69"/>
  <c r="I20" i="69"/>
  <c r="J20" i="69"/>
  <c r="K20" i="69"/>
  <c r="L20" i="69"/>
  <c r="M20" i="69"/>
  <c r="O20" i="69"/>
  <c r="P20" i="69"/>
  <c r="Q20" i="69"/>
  <c r="R20" i="69"/>
  <c r="S20" i="69"/>
  <c r="T20" i="69"/>
  <c r="V20" i="69"/>
  <c r="W20" i="69"/>
  <c r="X20" i="69"/>
  <c r="Y20" i="69"/>
  <c r="Z20" i="69"/>
  <c r="AA20" i="69"/>
  <c r="AC20" i="69"/>
  <c r="AD20" i="69"/>
  <c r="AE20" i="69"/>
  <c r="AF20" i="69"/>
  <c r="AG20" i="69"/>
  <c r="C21" i="69"/>
  <c r="D21" i="69"/>
  <c r="E21" i="69"/>
  <c r="F21" i="69"/>
  <c r="H21" i="69"/>
  <c r="I21" i="69"/>
  <c r="J21" i="69"/>
  <c r="K21" i="69"/>
  <c r="L21" i="69"/>
  <c r="M21" i="69"/>
  <c r="O21" i="69"/>
  <c r="P21" i="69"/>
  <c r="Q21" i="69"/>
  <c r="R21" i="69"/>
  <c r="S21" i="69"/>
  <c r="T21" i="69"/>
  <c r="V21" i="69"/>
  <c r="W21" i="69"/>
  <c r="X21" i="69"/>
  <c r="Y21" i="69"/>
  <c r="Z21" i="69"/>
  <c r="AA21" i="69"/>
  <c r="AC21" i="69"/>
  <c r="AD21" i="69"/>
  <c r="AE21" i="69"/>
  <c r="AF21" i="69"/>
  <c r="AG21" i="69"/>
  <c r="C22" i="69"/>
  <c r="D22" i="69"/>
  <c r="E22" i="69"/>
  <c r="F22" i="69"/>
  <c r="H22" i="69"/>
  <c r="I22" i="69"/>
  <c r="J22" i="69"/>
  <c r="K22" i="69"/>
  <c r="L22" i="69"/>
  <c r="M22" i="69"/>
  <c r="O22" i="69"/>
  <c r="P22" i="69"/>
  <c r="Q22" i="69"/>
  <c r="R22" i="69"/>
  <c r="S22" i="69"/>
  <c r="T22" i="69"/>
  <c r="V22" i="69"/>
  <c r="W22" i="69"/>
  <c r="X22" i="69"/>
  <c r="Y22" i="69"/>
  <c r="Z22" i="69"/>
  <c r="AA22" i="69"/>
  <c r="AC22" i="69"/>
  <c r="AD22" i="69"/>
  <c r="AE22" i="69"/>
  <c r="AF22" i="69"/>
  <c r="AG22" i="69"/>
  <c r="C23" i="69"/>
  <c r="D23" i="69"/>
  <c r="E23" i="69"/>
  <c r="F23" i="69"/>
  <c r="H23" i="69"/>
  <c r="I23" i="69"/>
  <c r="J23" i="69"/>
  <c r="K23" i="69"/>
  <c r="L23" i="69"/>
  <c r="M23" i="69"/>
  <c r="O23" i="69"/>
  <c r="P23" i="69"/>
  <c r="Q23" i="69"/>
  <c r="R23" i="69"/>
  <c r="S23" i="69"/>
  <c r="T23" i="69"/>
  <c r="V23" i="69"/>
  <c r="W23" i="69"/>
  <c r="X23" i="69"/>
  <c r="Y23" i="69"/>
  <c r="Z23" i="69"/>
  <c r="AA23" i="69"/>
  <c r="AC23" i="69"/>
  <c r="AD23" i="69"/>
  <c r="AE23" i="69"/>
  <c r="AF23" i="69"/>
  <c r="AG23" i="69"/>
  <c r="C24" i="69"/>
  <c r="D24" i="69"/>
  <c r="E24" i="69"/>
  <c r="F24" i="69"/>
  <c r="H24" i="69"/>
  <c r="I24" i="69"/>
  <c r="J24" i="69"/>
  <c r="K24" i="69"/>
  <c r="L24" i="69"/>
  <c r="M24" i="69"/>
  <c r="O24" i="69"/>
  <c r="P24" i="69"/>
  <c r="Q24" i="69"/>
  <c r="R24" i="69"/>
  <c r="S24" i="69"/>
  <c r="T24" i="69"/>
  <c r="V24" i="69"/>
  <c r="W24" i="69"/>
  <c r="X24" i="69"/>
  <c r="Y24" i="69"/>
  <c r="Z24" i="69"/>
  <c r="AA24" i="69"/>
  <c r="AC24" i="69"/>
  <c r="AD24" i="69"/>
  <c r="AE24" i="69"/>
  <c r="AF24" i="69"/>
  <c r="AG24" i="69"/>
  <c r="C27" i="69"/>
  <c r="D27" i="69"/>
  <c r="E27" i="69"/>
  <c r="F27" i="69"/>
  <c r="H27" i="69"/>
  <c r="I27" i="69"/>
  <c r="J27" i="69"/>
  <c r="K27" i="69"/>
  <c r="L27" i="69"/>
  <c r="M27" i="69"/>
  <c r="O27" i="69"/>
  <c r="P27" i="69"/>
  <c r="Q27" i="69"/>
  <c r="R27" i="69"/>
  <c r="S27" i="69"/>
  <c r="T27" i="69"/>
  <c r="V27" i="69"/>
  <c r="W27" i="69"/>
  <c r="X27" i="69"/>
  <c r="Y27" i="69"/>
  <c r="Z27" i="69"/>
  <c r="AA27" i="69"/>
  <c r="AC27" i="69"/>
  <c r="AD27" i="69"/>
  <c r="AE27" i="69"/>
  <c r="AF27" i="69"/>
  <c r="AG27" i="69"/>
  <c r="C28" i="69"/>
  <c r="D28" i="69"/>
  <c r="E28" i="69"/>
  <c r="F28" i="69"/>
  <c r="H28" i="69"/>
  <c r="I28" i="69"/>
  <c r="J28" i="69"/>
  <c r="K28" i="69"/>
  <c r="L28" i="69"/>
  <c r="M28" i="69"/>
  <c r="O28" i="69"/>
  <c r="P28" i="69"/>
  <c r="Q28" i="69"/>
  <c r="R28" i="69"/>
  <c r="S28" i="69"/>
  <c r="T28" i="69"/>
  <c r="V28" i="69"/>
  <c r="W28" i="69"/>
  <c r="X28" i="69"/>
  <c r="Y28" i="69"/>
  <c r="Z28" i="69"/>
  <c r="AA28" i="69"/>
  <c r="AC28" i="69"/>
  <c r="AD28" i="69"/>
  <c r="AE28" i="69"/>
  <c r="AF28" i="69"/>
  <c r="AG28" i="69"/>
  <c r="C29" i="69"/>
  <c r="D29" i="69"/>
  <c r="E29" i="69"/>
  <c r="F29" i="69"/>
  <c r="H29" i="69"/>
  <c r="I29" i="69"/>
  <c r="J29" i="69"/>
  <c r="K29" i="69"/>
  <c r="L29" i="69"/>
  <c r="M29" i="69"/>
  <c r="O29" i="69"/>
  <c r="P29" i="69"/>
  <c r="Q29" i="69"/>
  <c r="R29" i="69"/>
  <c r="S29" i="69"/>
  <c r="T29" i="69"/>
  <c r="V29" i="69"/>
  <c r="W29" i="69"/>
  <c r="X29" i="69"/>
  <c r="Y29" i="69"/>
  <c r="Z29" i="69"/>
  <c r="AA29" i="69"/>
  <c r="AC29" i="69"/>
  <c r="AD29" i="69"/>
  <c r="AE29" i="69"/>
  <c r="AF29" i="69"/>
  <c r="AG29" i="69"/>
  <c r="C30" i="69"/>
  <c r="D30" i="69"/>
  <c r="E30" i="69"/>
  <c r="F30" i="69"/>
  <c r="H30" i="69"/>
  <c r="I30" i="69"/>
  <c r="J30" i="69"/>
  <c r="K30" i="69"/>
  <c r="L30" i="69"/>
  <c r="M30" i="69"/>
  <c r="O30" i="69"/>
  <c r="P30" i="69"/>
  <c r="Q30" i="69"/>
  <c r="R30" i="69"/>
  <c r="S30" i="69"/>
  <c r="T30" i="69"/>
  <c r="V30" i="69"/>
  <c r="W30" i="69"/>
  <c r="X30" i="69"/>
  <c r="Y30" i="69"/>
  <c r="Z30" i="69"/>
  <c r="AA30" i="69"/>
  <c r="AC30" i="69"/>
  <c r="AD30" i="69"/>
  <c r="AE30" i="69"/>
  <c r="AF30" i="69"/>
  <c r="AG30" i="69"/>
  <c r="C31" i="69"/>
  <c r="D31" i="69"/>
  <c r="E31" i="69"/>
  <c r="F31" i="69"/>
  <c r="H31" i="69"/>
  <c r="I31" i="69"/>
  <c r="J31" i="69"/>
  <c r="K31" i="69"/>
  <c r="L31" i="69"/>
  <c r="M31" i="69"/>
  <c r="O31" i="69"/>
  <c r="P31" i="69"/>
  <c r="Q31" i="69"/>
  <c r="R31" i="69"/>
  <c r="S31" i="69"/>
  <c r="T31" i="69"/>
  <c r="V31" i="69"/>
  <c r="W31" i="69"/>
  <c r="X31" i="69"/>
  <c r="Y31" i="69"/>
  <c r="Z31" i="69"/>
  <c r="AA31" i="69"/>
  <c r="AC31" i="69"/>
  <c r="AD31" i="69"/>
  <c r="AE31" i="69"/>
  <c r="AF31" i="69"/>
  <c r="AG31" i="69"/>
  <c r="AG4" i="69"/>
  <c r="AF4" i="69"/>
  <c r="AE4" i="69"/>
  <c r="AD4" i="69"/>
  <c r="AC4" i="69"/>
  <c r="AA4" i="69"/>
  <c r="Z4" i="69"/>
  <c r="Y4" i="69"/>
  <c r="X4" i="69"/>
  <c r="W4" i="69"/>
  <c r="V4" i="69"/>
  <c r="T4" i="69"/>
  <c r="S4" i="69"/>
  <c r="R4" i="69"/>
  <c r="Q4" i="69"/>
  <c r="P4" i="69"/>
  <c r="O4" i="69"/>
  <c r="M4" i="69"/>
  <c r="L4" i="69"/>
  <c r="K4" i="69"/>
  <c r="J4" i="69"/>
  <c r="I4" i="69"/>
  <c r="H4" i="69"/>
  <c r="F4" i="69"/>
  <c r="E4" i="69"/>
  <c r="D4" i="69"/>
  <c r="C4" i="69"/>
  <c r="AG3" i="69"/>
  <c r="AF3" i="69"/>
  <c r="AE3" i="69"/>
  <c r="AD3" i="69"/>
  <c r="AC3" i="69"/>
  <c r="AA3" i="69"/>
  <c r="Z3" i="69"/>
  <c r="Y3" i="69"/>
  <c r="X3" i="69"/>
  <c r="W3" i="69"/>
  <c r="V3" i="69"/>
  <c r="T3" i="69"/>
  <c r="S3" i="69"/>
  <c r="R3" i="69"/>
  <c r="Q3" i="69"/>
  <c r="P3" i="69"/>
  <c r="O3" i="69"/>
  <c r="M3" i="69"/>
  <c r="L3" i="69"/>
  <c r="K3" i="69"/>
  <c r="J3" i="69"/>
  <c r="I3" i="69"/>
  <c r="H3" i="69"/>
  <c r="F3" i="69"/>
  <c r="E3" i="69"/>
  <c r="D3" i="69"/>
  <c r="C3" i="69"/>
  <c r="C5" i="68"/>
  <c r="D5" i="68"/>
  <c r="E5" i="68"/>
  <c r="F5" i="68"/>
  <c r="H5" i="68"/>
  <c r="I5" i="68"/>
  <c r="J5" i="68"/>
  <c r="K5" i="68"/>
  <c r="L5" i="68"/>
  <c r="M5" i="68"/>
  <c r="O5" i="68"/>
  <c r="P5" i="68"/>
  <c r="Q5" i="68"/>
  <c r="R5" i="68"/>
  <c r="S5" i="68"/>
  <c r="T5" i="68"/>
  <c r="V5" i="68"/>
  <c r="W5" i="68"/>
  <c r="X5" i="68"/>
  <c r="Y5" i="68"/>
  <c r="Z5" i="68"/>
  <c r="AA5" i="68"/>
  <c r="AC5" i="68"/>
  <c r="AD5" i="68"/>
  <c r="AE5" i="68"/>
  <c r="AF5" i="68"/>
  <c r="AG5" i="68"/>
  <c r="C6" i="68"/>
  <c r="D6" i="68"/>
  <c r="E6" i="68"/>
  <c r="F6" i="68"/>
  <c r="H6" i="68"/>
  <c r="I6" i="68"/>
  <c r="J6" i="68"/>
  <c r="K6" i="68"/>
  <c r="L6" i="68"/>
  <c r="M6" i="68"/>
  <c r="O6" i="68"/>
  <c r="P6" i="68"/>
  <c r="Q6" i="68"/>
  <c r="R6" i="68"/>
  <c r="S6" i="68"/>
  <c r="T6" i="68"/>
  <c r="V6" i="68"/>
  <c r="W6" i="68"/>
  <c r="X6" i="68"/>
  <c r="Y6" i="68"/>
  <c r="Z6" i="68"/>
  <c r="AA6" i="68"/>
  <c r="AC6" i="68"/>
  <c r="AD6" i="68"/>
  <c r="AE6" i="68"/>
  <c r="AF6" i="68"/>
  <c r="AG6" i="68"/>
  <c r="C7" i="68"/>
  <c r="D7" i="68"/>
  <c r="E7" i="68"/>
  <c r="F7" i="68"/>
  <c r="H7" i="68"/>
  <c r="I7" i="68"/>
  <c r="J7" i="68"/>
  <c r="K7" i="68"/>
  <c r="L7" i="68"/>
  <c r="M7" i="68"/>
  <c r="O7" i="68"/>
  <c r="P7" i="68"/>
  <c r="Q7" i="68"/>
  <c r="R7" i="68"/>
  <c r="S7" i="68"/>
  <c r="T7" i="68"/>
  <c r="V7" i="68"/>
  <c r="W7" i="68"/>
  <c r="X7" i="68"/>
  <c r="Y7" i="68"/>
  <c r="Z7" i="68"/>
  <c r="AA7" i="68"/>
  <c r="AC7" i="68"/>
  <c r="AD7" i="68"/>
  <c r="AE7" i="68"/>
  <c r="AF7" i="68"/>
  <c r="AG7" i="68"/>
  <c r="C8" i="68"/>
  <c r="D8" i="68"/>
  <c r="E8" i="68"/>
  <c r="F8" i="68"/>
  <c r="H8" i="68"/>
  <c r="I8" i="68"/>
  <c r="J8" i="68"/>
  <c r="K8" i="68"/>
  <c r="L8" i="68"/>
  <c r="M8" i="68"/>
  <c r="O8" i="68"/>
  <c r="P8" i="68"/>
  <c r="Q8" i="68"/>
  <c r="R8" i="68"/>
  <c r="S8" i="68"/>
  <c r="T8" i="68"/>
  <c r="V8" i="68"/>
  <c r="W8" i="68"/>
  <c r="X8" i="68"/>
  <c r="Y8" i="68"/>
  <c r="Z8" i="68"/>
  <c r="AA8" i="68"/>
  <c r="AC8" i="68"/>
  <c r="AD8" i="68"/>
  <c r="AE8" i="68"/>
  <c r="AF8" i="68"/>
  <c r="AG8" i="68"/>
  <c r="C9" i="68"/>
  <c r="D9" i="68"/>
  <c r="E9" i="68"/>
  <c r="F9" i="68"/>
  <c r="H9" i="68"/>
  <c r="I9" i="68"/>
  <c r="J9" i="68"/>
  <c r="K9" i="68"/>
  <c r="L9" i="68"/>
  <c r="M9" i="68"/>
  <c r="O9" i="68"/>
  <c r="P9" i="68"/>
  <c r="Q9" i="68"/>
  <c r="R9" i="68"/>
  <c r="S9" i="68"/>
  <c r="T9" i="68"/>
  <c r="V9" i="68"/>
  <c r="W9" i="68"/>
  <c r="X9" i="68"/>
  <c r="Y9" i="68"/>
  <c r="Z9" i="68"/>
  <c r="AA9" i="68"/>
  <c r="AC9" i="68"/>
  <c r="AD9" i="68"/>
  <c r="AE9" i="68"/>
  <c r="AF9" i="68"/>
  <c r="AG9" i="68"/>
  <c r="C10" i="68"/>
  <c r="D10" i="68"/>
  <c r="E10" i="68"/>
  <c r="F10" i="68"/>
  <c r="H10" i="68"/>
  <c r="I10" i="68"/>
  <c r="J10" i="68"/>
  <c r="K10" i="68"/>
  <c r="L10" i="68"/>
  <c r="M10" i="68"/>
  <c r="O10" i="68"/>
  <c r="P10" i="68"/>
  <c r="Q10" i="68"/>
  <c r="R10" i="68"/>
  <c r="S10" i="68"/>
  <c r="T10" i="68"/>
  <c r="V10" i="68"/>
  <c r="W10" i="68"/>
  <c r="X10" i="68"/>
  <c r="Y10" i="68"/>
  <c r="Z10" i="68"/>
  <c r="AA10" i="68"/>
  <c r="AC10" i="68"/>
  <c r="AD10" i="68"/>
  <c r="AE10" i="68"/>
  <c r="AF10" i="68"/>
  <c r="AG10" i="68"/>
  <c r="C11" i="68"/>
  <c r="D11" i="68"/>
  <c r="E11" i="68"/>
  <c r="F11" i="68"/>
  <c r="H11" i="68"/>
  <c r="I11" i="68"/>
  <c r="J11" i="68"/>
  <c r="K11" i="68"/>
  <c r="L11" i="68"/>
  <c r="M11" i="68"/>
  <c r="O11" i="68"/>
  <c r="P11" i="68"/>
  <c r="Q11" i="68"/>
  <c r="R11" i="68"/>
  <c r="S11" i="68"/>
  <c r="T11" i="68"/>
  <c r="V11" i="68"/>
  <c r="W11" i="68"/>
  <c r="X11" i="68"/>
  <c r="Y11" i="68"/>
  <c r="Z11" i="68"/>
  <c r="AA11" i="68"/>
  <c r="AC11" i="68"/>
  <c r="AD11" i="68"/>
  <c r="AE11" i="68"/>
  <c r="AF11" i="68"/>
  <c r="AG11" i="68"/>
  <c r="C14" i="68"/>
  <c r="D14" i="68"/>
  <c r="E14" i="68"/>
  <c r="F14" i="68"/>
  <c r="H14" i="68"/>
  <c r="I14" i="68"/>
  <c r="J14" i="68"/>
  <c r="K14" i="68"/>
  <c r="L14" i="68"/>
  <c r="M14" i="68"/>
  <c r="O14" i="68"/>
  <c r="P14" i="68"/>
  <c r="Q14" i="68"/>
  <c r="R14" i="68"/>
  <c r="S14" i="68"/>
  <c r="T14" i="68"/>
  <c r="V14" i="68"/>
  <c r="W14" i="68"/>
  <c r="X14" i="68"/>
  <c r="Y14" i="68"/>
  <c r="Z14" i="68"/>
  <c r="AA14" i="68"/>
  <c r="AC14" i="68"/>
  <c r="AD14" i="68"/>
  <c r="AE14" i="68"/>
  <c r="AF14" i="68"/>
  <c r="AG14" i="68"/>
  <c r="C15" i="68"/>
  <c r="D15" i="68"/>
  <c r="E15" i="68"/>
  <c r="F15" i="68"/>
  <c r="H15" i="68"/>
  <c r="I15" i="68"/>
  <c r="J15" i="68"/>
  <c r="K15" i="68"/>
  <c r="L15" i="68"/>
  <c r="M15" i="68"/>
  <c r="O15" i="68"/>
  <c r="P15" i="68"/>
  <c r="Q15" i="68"/>
  <c r="R15" i="68"/>
  <c r="S15" i="68"/>
  <c r="T15" i="68"/>
  <c r="V15" i="68"/>
  <c r="W15" i="68"/>
  <c r="X15" i="68"/>
  <c r="Y15" i="68"/>
  <c r="Z15" i="68"/>
  <c r="AA15" i="68"/>
  <c r="AC15" i="68"/>
  <c r="AD15" i="68"/>
  <c r="AE15" i="68"/>
  <c r="AF15" i="68"/>
  <c r="AG15" i="68"/>
  <c r="C16" i="68"/>
  <c r="D16" i="68"/>
  <c r="E16" i="68"/>
  <c r="F16" i="68"/>
  <c r="H16" i="68"/>
  <c r="I16" i="68"/>
  <c r="J16" i="68"/>
  <c r="K16" i="68"/>
  <c r="L16" i="68"/>
  <c r="M16" i="68"/>
  <c r="O16" i="68"/>
  <c r="P16" i="68"/>
  <c r="Q16" i="68"/>
  <c r="R16" i="68"/>
  <c r="S16" i="68"/>
  <c r="T16" i="68"/>
  <c r="V16" i="68"/>
  <c r="W16" i="68"/>
  <c r="X16" i="68"/>
  <c r="Y16" i="68"/>
  <c r="Z16" i="68"/>
  <c r="AA16" i="68"/>
  <c r="AC16" i="68"/>
  <c r="AD16" i="68"/>
  <c r="AE16" i="68"/>
  <c r="AF16" i="68"/>
  <c r="AG16" i="68"/>
  <c r="C17" i="68"/>
  <c r="D17" i="68"/>
  <c r="E17" i="68"/>
  <c r="F17" i="68"/>
  <c r="H17" i="68"/>
  <c r="I17" i="68"/>
  <c r="J17" i="68"/>
  <c r="K17" i="68"/>
  <c r="L17" i="68"/>
  <c r="M17" i="68"/>
  <c r="O17" i="68"/>
  <c r="P17" i="68"/>
  <c r="Q17" i="68"/>
  <c r="R17" i="68"/>
  <c r="S17" i="68"/>
  <c r="T17" i="68"/>
  <c r="V17" i="68"/>
  <c r="W17" i="68"/>
  <c r="X17" i="68"/>
  <c r="Y17" i="68"/>
  <c r="Z17" i="68"/>
  <c r="AA17" i="68"/>
  <c r="AC17" i="68"/>
  <c r="AD17" i="68"/>
  <c r="AE17" i="68"/>
  <c r="AF17" i="68"/>
  <c r="AG17" i="68"/>
  <c r="C18" i="68"/>
  <c r="D18" i="68"/>
  <c r="E18" i="68"/>
  <c r="F18" i="68"/>
  <c r="H18" i="68"/>
  <c r="I18" i="68"/>
  <c r="J18" i="68"/>
  <c r="K18" i="68"/>
  <c r="L18" i="68"/>
  <c r="M18" i="68"/>
  <c r="O18" i="68"/>
  <c r="P18" i="68"/>
  <c r="Q18" i="68"/>
  <c r="R18" i="68"/>
  <c r="S18" i="68"/>
  <c r="T18" i="68"/>
  <c r="V18" i="68"/>
  <c r="W18" i="68"/>
  <c r="X18" i="68"/>
  <c r="Y18" i="68"/>
  <c r="Z18" i="68"/>
  <c r="AA18" i="68"/>
  <c r="AC18" i="68"/>
  <c r="AD18" i="68"/>
  <c r="AE18" i="68"/>
  <c r="AF18" i="68"/>
  <c r="AG18" i="68"/>
  <c r="C19" i="68"/>
  <c r="D19" i="68"/>
  <c r="E19" i="68"/>
  <c r="F19" i="68"/>
  <c r="H19" i="68"/>
  <c r="I19" i="68"/>
  <c r="J19" i="68"/>
  <c r="K19" i="68"/>
  <c r="L19" i="68"/>
  <c r="M19" i="68"/>
  <c r="O19" i="68"/>
  <c r="P19" i="68"/>
  <c r="Q19" i="68"/>
  <c r="R19" i="68"/>
  <c r="S19" i="68"/>
  <c r="T19" i="68"/>
  <c r="V19" i="68"/>
  <c r="W19" i="68"/>
  <c r="X19" i="68"/>
  <c r="Y19" i="68"/>
  <c r="Z19" i="68"/>
  <c r="AA19" i="68"/>
  <c r="AC19" i="68"/>
  <c r="AD19" i="68"/>
  <c r="AE19" i="68"/>
  <c r="AF19" i="68"/>
  <c r="AG19" i="68"/>
  <c r="C20" i="68"/>
  <c r="D20" i="68"/>
  <c r="E20" i="68"/>
  <c r="F20" i="68"/>
  <c r="H20" i="68"/>
  <c r="I20" i="68"/>
  <c r="J20" i="68"/>
  <c r="K20" i="68"/>
  <c r="L20" i="68"/>
  <c r="M20" i="68"/>
  <c r="O20" i="68"/>
  <c r="P20" i="68"/>
  <c r="Q20" i="68"/>
  <c r="R20" i="68"/>
  <c r="S20" i="68"/>
  <c r="T20" i="68"/>
  <c r="V20" i="68"/>
  <c r="W20" i="68"/>
  <c r="X20" i="68"/>
  <c r="Y20" i="68"/>
  <c r="Z20" i="68"/>
  <c r="AA20" i="68"/>
  <c r="AC20" i="68"/>
  <c r="AD20" i="68"/>
  <c r="AE20" i="68"/>
  <c r="AF20" i="68"/>
  <c r="AG20" i="68"/>
  <c r="C21" i="68"/>
  <c r="D21" i="68"/>
  <c r="E21" i="68"/>
  <c r="F21" i="68"/>
  <c r="H21" i="68"/>
  <c r="I21" i="68"/>
  <c r="J21" i="68"/>
  <c r="K21" i="68"/>
  <c r="L21" i="68"/>
  <c r="M21" i="68"/>
  <c r="O21" i="68"/>
  <c r="P21" i="68"/>
  <c r="Q21" i="68"/>
  <c r="R21" i="68"/>
  <c r="S21" i="68"/>
  <c r="T21" i="68"/>
  <c r="V21" i="68"/>
  <c r="W21" i="68"/>
  <c r="X21" i="68"/>
  <c r="Y21" i="68"/>
  <c r="Z21" i="68"/>
  <c r="AA21" i="68"/>
  <c r="AC21" i="68"/>
  <c r="AD21" i="68"/>
  <c r="AE21" i="68"/>
  <c r="AF21" i="68"/>
  <c r="AG21" i="68"/>
  <c r="C22" i="68"/>
  <c r="D22" i="68"/>
  <c r="E22" i="68"/>
  <c r="F22" i="68"/>
  <c r="H22" i="68"/>
  <c r="I22" i="68"/>
  <c r="J22" i="68"/>
  <c r="K22" i="68"/>
  <c r="L22" i="68"/>
  <c r="M22" i="68"/>
  <c r="O22" i="68"/>
  <c r="P22" i="68"/>
  <c r="Q22" i="68"/>
  <c r="R22" i="68"/>
  <c r="S22" i="68"/>
  <c r="T22" i="68"/>
  <c r="V22" i="68"/>
  <c r="W22" i="68"/>
  <c r="X22" i="68"/>
  <c r="Y22" i="68"/>
  <c r="Z22" i="68"/>
  <c r="AA22" i="68"/>
  <c r="AC22" i="68"/>
  <c r="AD22" i="68"/>
  <c r="AE22" i="68"/>
  <c r="AF22" i="68"/>
  <c r="AG22" i="68"/>
  <c r="C23" i="68"/>
  <c r="D23" i="68"/>
  <c r="E23" i="68"/>
  <c r="F23" i="68"/>
  <c r="H23" i="68"/>
  <c r="I23" i="68"/>
  <c r="J23" i="68"/>
  <c r="K23" i="68"/>
  <c r="L23" i="68"/>
  <c r="M23" i="68"/>
  <c r="O23" i="68"/>
  <c r="P23" i="68"/>
  <c r="Q23" i="68"/>
  <c r="R23" i="68"/>
  <c r="S23" i="68"/>
  <c r="T23" i="68"/>
  <c r="V23" i="68"/>
  <c r="W23" i="68"/>
  <c r="X23" i="68"/>
  <c r="Y23" i="68"/>
  <c r="Z23" i="68"/>
  <c r="AA23" i="68"/>
  <c r="AC23" i="68"/>
  <c r="AD23" i="68"/>
  <c r="AE23" i="68"/>
  <c r="AF23" i="68"/>
  <c r="AG23" i="68"/>
  <c r="C24" i="68"/>
  <c r="D24" i="68"/>
  <c r="E24" i="68"/>
  <c r="F24" i="68"/>
  <c r="H24" i="68"/>
  <c r="I24" i="68"/>
  <c r="J24" i="68"/>
  <c r="K24" i="68"/>
  <c r="L24" i="68"/>
  <c r="M24" i="68"/>
  <c r="O24" i="68"/>
  <c r="P24" i="68"/>
  <c r="Q24" i="68"/>
  <c r="R24" i="68"/>
  <c r="S24" i="68"/>
  <c r="T24" i="68"/>
  <c r="V24" i="68"/>
  <c r="W24" i="68"/>
  <c r="X24" i="68"/>
  <c r="Y24" i="68"/>
  <c r="Z24" i="68"/>
  <c r="AA24" i="68"/>
  <c r="AC24" i="68"/>
  <c r="AD24" i="68"/>
  <c r="AE24" i="68"/>
  <c r="AF24" i="68"/>
  <c r="AG24" i="68"/>
  <c r="C27" i="68"/>
  <c r="D27" i="68"/>
  <c r="E27" i="68"/>
  <c r="F27" i="68"/>
  <c r="H27" i="68"/>
  <c r="I27" i="68"/>
  <c r="J27" i="68"/>
  <c r="K27" i="68"/>
  <c r="L27" i="68"/>
  <c r="M27" i="68"/>
  <c r="O27" i="68"/>
  <c r="P27" i="68"/>
  <c r="Q27" i="68"/>
  <c r="R27" i="68"/>
  <c r="S27" i="68"/>
  <c r="T27" i="68"/>
  <c r="V27" i="68"/>
  <c r="W27" i="68"/>
  <c r="X27" i="68"/>
  <c r="Y27" i="68"/>
  <c r="Z27" i="68"/>
  <c r="AA27" i="68"/>
  <c r="AC27" i="68"/>
  <c r="AD27" i="68"/>
  <c r="AE27" i="68"/>
  <c r="AF27" i="68"/>
  <c r="AG27" i="68"/>
  <c r="C28" i="68"/>
  <c r="D28" i="68"/>
  <c r="E28" i="68"/>
  <c r="F28" i="68"/>
  <c r="H28" i="68"/>
  <c r="I28" i="68"/>
  <c r="J28" i="68"/>
  <c r="K28" i="68"/>
  <c r="L28" i="68"/>
  <c r="M28" i="68"/>
  <c r="O28" i="68"/>
  <c r="P28" i="68"/>
  <c r="Q28" i="68"/>
  <c r="R28" i="68"/>
  <c r="S28" i="68"/>
  <c r="T28" i="68"/>
  <c r="V28" i="68"/>
  <c r="W28" i="68"/>
  <c r="X28" i="68"/>
  <c r="Y28" i="68"/>
  <c r="Z28" i="68"/>
  <c r="AA28" i="68"/>
  <c r="AC28" i="68"/>
  <c r="AD28" i="68"/>
  <c r="AE28" i="68"/>
  <c r="AF28" i="68"/>
  <c r="AG28" i="68"/>
  <c r="C29" i="68"/>
  <c r="D29" i="68"/>
  <c r="E29" i="68"/>
  <c r="F29" i="68"/>
  <c r="H29" i="68"/>
  <c r="I29" i="68"/>
  <c r="J29" i="68"/>
  <c r="K29" i="68"/>
  <c r="L29" i="68"/>
  <c r="M29" i="68"/>
  <c r="O29" i="68"/>
  <c r="P29" i="68"/>
  <c r="Q29" i="68"/>
  <c r="R29" i="68"/>
  <c r="S29" i="68"/>
  <c r="T29" i="68"/>
  <c r="V29" i="68"/>
  <c r="W29" i="68"/>
  <c r="X29" i="68"/>
  <c r="Y29" i="68"/>
  <c r="Z29" i="68"/>
  <c r="AA29" i="68"/>
  <c r="AC29" i="68"/>
  <c r="AD29" i="68"/>
  <c r="AE29" i="68"/>
  <c r="AF29" i="68"/>
  <c r="AG29" i="68"/>
  <c r="C30" i="68"/>
  <c r="D30" i="68"/>
  <c r="E30" i="68"/>
  <c r="F30" i="68"/>
  <c r="H30" i="68"/>
  <c r="I30" i="68"/>
  <c r="J30" i="68"/>
  <c r="K30" i="68"/>
  <c r="L30" i="68"/>
  <c r="M30" i="68"/>
  <c r="O30" i="68"/>
  <c r="P30" i="68"/>
  <c r="Q30" i="68"/>
  <c r="R30" i="68"/>
  <c r="S30" i="68"/>
  <c r="T30" i="68"/>
  <c r="V30" i="68"/>
  <c r="W30" i="68"/>
  <c r="X30" i="68"/>
  <c r="Y30" i="68"/>
  <c r="Z30" i="68"/>
  <c r="AA30" i="68"/>
  <c r="AC30" i="68"/>
  <c r="AD30" i="68"/>
  <c r="AE30" i="68"/>
  <c r="AF30" i="68"/>
  <c r="AG30" i="68"/>
  <c r="C31" i="68"/>
  <c r="D31" i="68"/>
  <c r="E31" i="68"/>
  <c r="F31" i="68"/>
  <c r="H31" i="68"/>
  <c r="I31" i="68"/>
  <c r="J31" i="68"/>
  <c r="K31" i="68"/>
  <c r="L31" i="68"/>
  <c r="M31" i="68"/>
  <c r="O31" i="68"/>
  <c r="P31" i="68"/>
  <c r="Q31" i="68"/>
  <c r="R31" i="68"/>
  <c r="S31" i="68"/>
  <c r="T31" i="68"/>
  <c r="V31" i="68"/>
  <c r="W31" i="68"/>
  <c r="X31" i="68"/>
  <c r="Y31" i="68"/>
  <c r="Z31" i="68"/>
  <c r="AA31" i="68"/>
  <c r="AC31" i="68"/>
  <c r="AD31" i="68"/>
  <c r="AE31" i="68"/>
  <c r="AF31" i="68"/>
  <c r="AG31" i="68"/>
  <c r="AG4" i="68"/>
  <c r="AF4" i="68"/>
  <c r="AE4" i="68"/>
  <c r="AD4" i="68"/>
  <c r="AC4" i="68"/>
  <c r="AA4" i="68"/>
  <c r="Z4" i="68"/>
  <c r="Y4" i="68"/>
  <c r="X4" i="68"/>
  <c r="W4" i="68"/>
  <c r="V4" i="68"/>
  <c r="T4" i="68"/>
  <c r="S4" i="68"/>
  <c r="R4" i="68"/>
  <c r="Q4" i="68"/>
  <c r="P4" i="68"/>
  <c r="O4" i="68"/>
  <c r="M4" i="68"/>
  <c r="L4" i="68"/>
  <c r="K4" i="68"/>
  <c r="J4" i="68"/>
  <c r="I4" i="68"/>
  <c r="H4" i="68"/>
  <c r="F4" i="68"/>
  <c r="E4" i="68"/>
  <c r="D4" i="68"/>
  <c r="C4" i="68"/>
  <c r="AG3" i="68"/>
  <c r="AF3" i="68"/>
  <c r="AE3" i="68"/>
  <c r="AD3" i="68"/>
  <c r="AC3" i="68"/>
  <c r="AA3" i="68"/>
  <c r="Z3" i="68"/>
  <c r="Y3" i="68"/>
  <c r="X3" i="68"/>
  <c r="W3" i="68"/>
  <c r="V3" i="68"/>
  <c r="T3" i="68"/>
  <c r="S3" i="68"/>
  <c r="R3" i="68"/>
  <c r="Q3" i="68"/>
  <c r="P3" i="68"/>
  <c r="O3" i="68"/>
  <c r="M3" i="68"/>
  <c r="L3" i="68"/>
  <c r="K3" i="68"/>
  <c r="J3" i="68"/>
  <c r="I3" i="68"/>
  <c r="H3" i="68"/>
  <c r="F3" i="68"/>
  <c r="E3" i="68"/>
  <c r="D3" i="68"/>
  <c r="C3" i="68"/>
  <c r="C14" i="67"/>
  <c r="D14" i="67"/>
  <c r="E14" i="67"/>
  <c r="F14" i="67"/>
  <c r="H14" i="67"/>
  <c r="I14" i="67"/>
  <c r="J14" i="67"/>
  <c r="K14" i="67"/>
  <c r="L14" i="67"/>
  <c r="M14" i="67"/>
  <c r="O14" i="67"/>
  <c r="P14" i="67"/>
  <c r="Q14" i="67"/>
  <c r="R14" i="67"/>
  <c r="S14" i="67"/>
  <c r="T14" i="67"/>
  <c r="V14" i="67"/>
  <c r="W14" i="67"/>
  <c r="X14" i="67"/>
  <c r="Y14" i="67"/>
  <c r="Z14" i="67"/>
  <c r="AA14" i="67"/>
  <c r="AC14" i="67"/>
  <c r="AD14" i="67"/>
  <c r="AE14" i="67"/>
  <c r="AF14" i="67"/>
  <c r="AG14" i="67"/>
  <c r="C15" i="67"/>
  <c r="D15" i="67"/>
  <c r="E15" i="67"/>
  <c r="F15" i="67"/>
  <c r="H15" i="67"/>
  <c r="I15" i="67"/>
  <c r="J15" i="67"/>
  <c r="K15" i="67"/>
  <c r="L15" i="67"/>
  <c r="M15" i="67"/>
  <c r="O15" i="67"/>
  <c r="P15" i="67"/>
  <c r="Q15" i="67"/>
  <c r="R15" i="67"/>
  <c r="S15" i="67"/>
  <c r="T15" i="67"/>
  <c r="V15" i="67"/>
  <c r="W15" i="67"/>
  <c r="X15" i="67"/>
  <c r="Y15" i="67"/>
  <c r="Z15" i="67"/>
  <c r="AA15" i="67"/>
  <c r="AC15" i="67"/>
  <c r="AD15" i="67"/>
  <c r="AE15" i="67"/>
  <c r="AF15" i="67"/>
  <c r="AG15" i="67"/>
  <c r="C16" i="67"/>
  <c r="D16" i="67"/>
  <c r="E16" i="67"/>
  <c r="F16" i="67"/>
  <c r="H16" i="67"/>
  <c r="I16" i="67"/>
  <c r="J16" i="67"/>
  <c r="K16" i="67"/>
  <c r="L16" i="67"/>
  <c r="M16" i="67"/>
  <c r="O16" i="67"/>
  <c r="P16" i="67"/>
  <c r="Q16" i="67"/>
  <c r="R16" i="67"/>
  <c r="S16" i="67"/>
  <c r="T16" i="67"/>
  <c r="V16" i="67"/>
  <c r="W16" i="67"/>
  <c r="X16" i="67"/>
  <c r="Y16" i="67"/>
  <c r="Z16" i="67"/>
  <c r="AA16" i="67"/>
  <c r="AC16" i="67"/>
  <c r="AD16" i="67"/>
  <c r="AE16" i="67"/>
  <c r="AF16" i="67"/>
  <c r="AG16" i="67"/>
  <c r="C17" i="67"/>
  <c r="D17" i="67"/>
  <c r="E17" i="67"/>
  <c r="F17" i="67"/>
  <c r="H17" i="67"/>
  <c r="I17" i="67"/>
  <c r="J17" i="67"/>
  <c r="K17" i="67"/>
  <c r="L17" i="67"/>
  <c r="M17" i="67"/>
  <c r="O17" i="67"/>
  <c r="P17" i="67"/>
  <c r="Q17" i="67"/>
  <c r="R17" i="67"/>
  <c r="S17" i="67"/>
  <c r="T17" i="67"/>
  <c r="V17" i="67"/>
  <c r="W17" i="67"/>
  <c r="X17" i="67"/>
  <c r="Y17" i="67"/>
  <c r="Z17" i="67"/>
  <c r="AA17" i="67"/>
  <c r="AC17" i="67"/>
  <c r="AD17" i="67"/>
  <c r="AE17" i="67"/>
  <c r="AF17" i="67"/>
  <c r="AG17" i="67"/>
  <c r="C18" i="67"/>
  <c r="D18" i="67"/>
  <c r="E18" i="67"/>
  <c r="F18" i="67"/>
  <c r="H18" i="67"/>
  <c r="I18" i="67"/>
  <c r="J18" i="67"/>
  <c r="K18" i="67"/>
  <c r="L18" i="67"/>
  <c r="M18" i="67"/>
  <c r="O18" i="67"/>
  <c r="P18" i="67"/>
  <c r="Q18" i="67"/>
  <c r="R18" i="67"/>
  <c r="S18" i="67"/>
  <c r="T18" i="67"/>
  <c r="V18" i="67"/>
  <c r="W18" i="67"/>
  <c r="X18" i="67"/>
  <c r="Y18" i="67"/>
  <c r="Z18" i="67"/>
  <c r="AA18" i="67"/>
  <c r="AC18" i="67"/>
  <c r="AD18" i="67"/>
  <c r="AE18" i="67"/>
  <c r="AF18" i="67"/>
  <c r="AG18" i="67"/>
  <c r="C19" i="67"/>
  <c r="D19" i="67"/>
  <c r="E19" i="67"/>
  <c r="F19" i="67"/>
  <c r="H19" i="67"/>
  <c r="I19" i="67"/>
  <c r="J19" i="67"/>
  <c r="K19" i="67"/>
  <c r="L19" i="67"/>
  <c r="M19" i="67"/>
  <c r="O19" i="67"/>
  <c r="P19" i="67"/>
  <c r="Q19" i="67"/>
  <c r="R19" i="67"/>
  <c r="S19" i="67"/>
  <c r="T19" i="67"/>
  <c r="V19" i="67"/>
  <c r="W19" i="67"/>
  <c r="X19" i="67"/>
  <c r="Y19" i="67"/>
  <c r="Z19" i="67"/>
  <c r="AA19" i="67"/>
  <c r="AC19" i="67"/>
  <c r="AD19" i="67"/>
  <c r="AE19" i="67"/>
  <c r="AF19" i="67"/>
  <c r="AG19" i="67"/>
  <c r="C20" i="67"/>
  <c r="D20" i="67"/>
  <c r="E20" i="67"/>
  <c r="F20" i="67"/>
  <c r="H20" i="67"/>
  <c r="I20" i="67"/>
  <c r="J20" i="67"/>
  <c r="K20" i="67"/>
  <c r="L20" i="67"/>
  <c r="M20" i="67"/>
  <c r="O20" i="67"/>
  <c r="P20" i="67"/>
  <c r="Q20" i="67"/>
  <c r="R20" i="67"/>
  <c r="S20" i="67"/>
  <c r="T20" i="67"/>
  <c r="V20" i="67"/>
  <c r="W20" i="67"/>
  <c r="X20" i="67"/>
  <c r="Y20" i="67"/>
  <c r="Z20" i="67"/>
  <c r="AA20" i="67"/>
  <c r="AC20" i="67"/>
  <c r="AD20" i="67"/>
  <c r="AE20" i="67"/>
  <c r="AF20" i="67"/>
  <c r="AG20" i="67"/>
  <c r="C21" i="67"/>
  <c r="D21" i="67"/>
  <c r="E21" i="67"/>
  <c r="F21" i="67"/>
  <c r="H21" i="67"/>
  <c r="I21" i="67"/>
  <c r="J21" i="67"/>
  <c r="K21" i="67"/>
  <c r="L21" i="67"/>
  <c r="M21" i="67"/>
  <c r="O21" i="67"/>
  <c r="P21" i="67"/>
  <c r="Q21" i="67"/>
  <c r="R21" i="67"/>
  <c r="S21" i="67"/>
  <c r="T21" i="67"/>
  <c r="V21" i="67"/>
  <c r="W21" i="67"/>
  <c r="X21" i="67"/>
  <c r="Y21" i="67"/>
  <c r="Z21" i="67"/>
  <c r="AA21" i="67"/>
  <c r="AC21" i="67"/>
  <c r="AD21" i="67"/>
  <c r="AE21" i="67"/>
  <c r="AF21" i="67"/>
  <c r="AG21" i="67"/>
  <c r="C22" i="67"/>
  <c r="D22" i="67"/>
  <c r="E22" i="67"/>
  <c r="F22" i="67"/>
  <c r="H22" i="67"/>
  <c r="I22" i="67"/>
  <c r="J22" i="67"/>
  <c r="K22" i="67"/>
  <c r="L22" i="67"/>
  <c r="M22" i="67"/>
  <c r="O22" i="67"/>
  <c r="P22" i="67"/>
  <c r="Q22" i="67"/>
  <c r="R22" i="67"/>
  <c r="S22" i="67"/>
  <c r="T22" i="67"/>
  <c r="V22" i="67"/>
  <c r="W22" i="67"/>
  <c r="X22" i="67"/>
  <c r="Y22" i="67"/>
  <c r="Z22" i="67"/>
  <c r="AA22" i="67"/>
  <c r="AC22" i="67"/>
  <c r="AD22" i="67"/>
  <c r="AE22" i="67"/>
  <c r="AF22" i="67"/>
  <c r="AG22" i="67"/>
  <c r="C23" i="67"/>
  <c r="D23" i="67"/>
  <c r="E23" i="67"/>
  <c r="F23" i="67"/>
  <c r="H23" i="67"/>
  <c r="I23" i="67"/>
  <c r="J23" i="67"/>
  <c r="K23" i="67"/>
  <c r="L23" i="67"/>
  <c r="M23" i="67"/>
  <c r="O23" i="67"/>
  <c r="P23" i="67"/>
  <c r="Q23" i="67"/>
  <c r="R23" i="67"/>
  <c r="S23" i="67"/>
  <c r="T23" i="67"/>
  <c r="V23" i="67"/>
  <c r="W23" i="67"/>
  <c r="X23" i="67"/>
  <c r="Y23" i="67"/>
  <c r="Z23" i="67"/>
  <c r="AA23" i="67"/>
  <c r="AC23" i="67"/>
  <c r="AD23" i="67"/>
  <c r="AE23" i="67"/>
  <c r="AF23" i="67"/>
  <c r="AG23" i="67"/>
  <c r="C24" i="67"/>
  <c r="D24" i="67"/>
  <c r="E24" i="67"/>
  <c r="F24" i="67"/>
  <c r="H24" i="67"/>
  <c r="I24" i="67"/>
  <c r="J24" i="67"/>
  <c r="K24" i="67"/>
  <c r="L24" i="67"/>
  <c r="M24" i="67"/>
  <c r="O24" i="67"/>
  <c r="P24" i="67"/>
  <c r="Q24" i="67"/>
  <c r="R24" i="67"/>
  <c r="S24" i="67"/>
  <c r="T24" i="67"/>
  <c r="V24" i="67"/>
  <c r="W24" i="67"/>
  <c r="X24" i="67"/>
  <c r="Y24" i="67"/>
  <c r="Z24" i="67"/>
  <c r="AA24" i="67"/>
  <c r="AC24" i="67"/>
  <c r="AD24" i="67"/>
  <c r="AE24" i="67"/>
  <c r="AF24" i="67"/>
  <c r="AG24" i="67"/>
  <c r="C27" i="67"/>
  <c r="D27" i="67"/>
  <c r="E27" i="67"/>
  <c r="F27" i="67"/>
  <c r="H27" i="67"/>
  <c r="I27" i="67"/>
  <c r="J27" i="67"/>
  <c r="K27" i="67"/>
  <c r="L27" i="67"/>
  <c r="M27" i="67"/>
  <c r="O27" i="67"/>
  <c r="P27" i="67"/>
  <c r="Q27" i="67"/>
  <c r="R27" i="67"/>
  <c r="S27" i="67"/>
  <c r="T27" i="67"/>
  <c r="V27" i="67"/>
  <c r="W27" i="67"/>
  <c r="X27" i="67"/>
  <c r="Y27" i="67"/>
  <c r="Z27" i="67"/>
  <c r="AA27" i="67"/>
  <c r="AC27" i="67"/>
  <c r="AD27" i="67"/>
  <c r="AE27" i="67"/>
  <c r="AF27" i="67"/>
  <c r="AG27" i="67"/>
  <c r="C28" i="67"/>
  <c r="D28" i="67"/>
  <c r="E28" i="67"/>
  <c r="F28" i="67"/>
  <c r="H28" i="67"/>
  <c r="I28" i="67"/>
  <c r="J28" i="67"/>
  <c r="K28" i="67"/>
  <c r="L28" i="67"/>
  <c r="M28" i="67"/>
  <c r="O28" i="67"/>
  <c r="P28" i="67"/>
  <c r="Q28" i="67"/>
  <c r="R28" i="67"/>
  <c r="S28" i="67"/>
  <c r="T28" i="67"/>
  <c r="V28" i="67"/>
  <c r="W28" i="67"/>
  <c r="X28" i="67"/>
  <c r="Y28" i="67"/>
  <c r="Z28" i="67"/>
  <c r="AA28" i="67"/>
  <c r="AC28" i="67"/>
  <c r="AD28" i="67"/>
  <c r="AE28" i="67"/>
  <c r="AF28" i="67"/>
  <c r="AG28" i="67"/>
  <c r="C29" i="67"/>
  <c r="D29" i="67"/>
  <c r="E29" i="67"/>
  <c r="F29" i="67"/>
  <c r="H29" i="67"/>
  <c r="I29" i="67"/>
  <c r="J29" i="67"/>
  <c r="K29" i="67"/>
  <c r="L29" i="67"/>
  <c r="M29" i="67"/>
  <c r="O29" i="67"/>
  <c r="P29" i="67"/>
  <c r="Q29" i="67"/>
  <c r="R29" i="67"/>
  <c r="S29" i="67"/>
  <c r="T29" i="67"/>
  <c r="V29" i="67"/>
  <c r="W29" i="67"/>
  <c r="X29" i="67"/>
  <c r="Y29" i="67"/>
  <c r="Z29" i="67"/>
  <c r="AA29" i="67"/>
  <c r="AC29" i="67"/>
  <c r="AD29" i="67"/>
  <c r="AE29" i="67"/>
  <c r="AF29" i="67"/>
  <c r="AG29" i="67"/>
  <c r="C30" i="67"/>
  <c r="D30" i="67"/>
  <c r="E30" i="67"/>
  <c r="F30" i="67"/>
  <c r="H30" i="67"/>
  <c r="I30" i="67"/>
  <c r="J30" i="67"/>
  <c r="K30" i="67"/>
  <c r="L30" i="67"/>
  <c r="M30" i="67"/>
  <c r="O30" i="67"/>
  <c r="P30" i="67"/>
  <c r="Q30" i="67"/>
  <c r="R30" i="67"/>
  <c r="S30" i="67"/>
  <c r="T30" i="67"/>
  <c r="V30" i="67"/>
  <c r="W30" i="67"/>
  <c r="X30" i="67"/>
  <c r="Y30" i="67"/>
  <c r="Z30" i="67"/>
  <c r="AA30" i="67"/>
  <c r="AC30" i="67"/>
  <c r="AD30" i="67"/>
  <c r="AE30" i="67"/>
  <c r="AF30" i="67"/>
  <c r="AG30" i="67"/>
  <c r="C31" i="67"/>
  <c r="D31" i="67"/>
  <c r="E31" i="67"/>
  <c r="F31" i="67"/>
  <c r="H31" i="67"/>
  <c r="I31" i="67"/>
  <c r="J31" i="67"/>
  <c r="K31" i="67"/>
  <c r="L31" i="67"/>
  <c r="M31" i="67"/>
  <c r="O31" i="67"/>
  <c r="P31" i="67"/>
  <c r="Q31" i="67"/>
  <c r="R31" i="67"/>
  <c r="S31" i="67"/>
  <c r="T31" i="67"/>
  <c r="V31" i="67"/>
  <c r="W31" i="67"/>
  <c r="X31" i="67"/>
  <c r="Y31" i="67"/>
  <c r="Z31" i="67"/>
  <c r="AA31" i="67"/>
  <c r="AC31" i="67"/>
  <c r="AD31" i="67"/>
  <c r="AE31" i="67"/>
  <c r="AF31" i="67"/>
  <c r="AG31" i="67"/>
  <c r="O5" i="67"/>
  <c r="P5" i="67"/>
  <c r="Q5" i="67"/>
  <c r="R5" i="67"/>
  <c r="S5" i="67"/>
  <c r="T5" i="67"/>
  <c r="V5" i="67"/>
  <c r="W5" i="67"/>
  <c r="X5" i="67"/>
  <c r="Y5" i="67"/>
  <c r="Z5" i="67"/>
  <c r="AA5" i="67"/>
  <c r="AC5" i="67"/>
  <c r="AD5" i="67"/>
  <c r="AE5" i="67"/>
  <c r="AF5" i="67"/>
  <c r="AG5" i="67"/>
  <c r="O6" i="67"/>
  <c r="P6" i="67"/>
  <c r="Q6" i="67"/>
  <c r="R6" i="67"/>
  <c r="S6" i="67"/>
  <c r="T6" i="67"/>
  <c r="V6" i="67"/>
  <c r="W6" i="67"/>
  <c r="X6" i="67"/>
  <c r="Y6" i="67"/>
  <c r="Z6" i="67"/>
  <c r="AA6" i="67"/>
  <c r="AC6" i="67"/>
  <c r="AD6" i="67"/>
  <c r="AE6" i="67"/>
  <c r="AF6" i="67"/>
  <c r="AG6" i="67"/>
  <c r="O7" i="67"/>
  <c r="P7" i="67"/>
  <c r="Q7" i="67"/>
  <c r="R7" i="67"/>
  <c r="S7" i="67"/>
  <c r="T7" i="67"/>
  <c r="V7" i="67"/>
  <c r="W7" i="67"/>
  <c r="X7" i="67"/>
  <c r="Y7" i="67"/>
  <c r="Z7" i="67"/>
  <c r="AA7" i="67"/>
  <c r="AC7" i="67"/>
  <c r="AD7" i="67"/>
  <c r="AE7" i="67"/>
  <c r="AF7" i="67"/>
  <c r="AG7" i="67"/>
  <c r="O8" i="67"/>
  <c r="P8" i="67"/>
  <c r="Q8" i="67"/>
  <c r="R8" i="67"/>
  <c r="S8" i="67"/>
  <c r="T8" i="67"/>
  <c r="V8" i="67"/>
  <c r="W8" i="67"/>
  <c r="X8" i="67"/>
  <c r="Y8" i="67"/>
  <c r="Z8" i="67"/>
  <c r="AA8" i="67"/>
  <c r="AC8" i="67"/>
  <c r="AD8" i="67"/>
  <c r="AE8" i="67"/>
  <c r="AF8" i="67"/>
  <c r="AG8" i="67"/>
  <c r="O9" i="67"/>
  <c r="P9" i="67"/>
  <c r="Q9" i="67"/>
  <c r="R9" i="67"/>
  <c r="S9" i="67"/>
  <c r="T9" i="67"/>
  <c r="V9" i="67"/>
  <c r="W9" i="67"/>
  <c r="X9" i="67"/>
  <c r="Y9" i="67"/>
  <c r="Z9" i="67"/>
  <c r="AA9" i="67"/>
  <c r="AC9" i="67"/>
  <c r="AD9" i="67"/>
  <c r="AE9" i="67"/>
  <c r="AF9" i="67"/>
  <c r="AG9" i="67"/>
  <c r="O10" i="67"/>
  <c r="P10" i="67"/>
  <c r="Q10" i="67"/>
  <c r="R10" i="67"/>
  <c r="S10" i="67"/>
  <c r="T10" i="67"/>
  <c r="V10" i="67"/>
  <c r="W10" i="67"/>
  <c r="X10" i="67"/>
  <c r="Y10" i="67"/>
  <c r="Z10" i="67"/>
  <c r="AA10" i="67"/>
  <c r="AC10" i="67"/>
  <c r="AD10" i="67"/>
  <c r="AE10" i="67"/>
  <c r="AF10" i="67"/>
  <c r="AG10" i="67"/>
  <c r="O11" i="67"/>
  <c r="P11" i="67"/>
  <c r="Q11" i="67"/>
  <c r="R11" i="67"/>
  <c r="S11" i="67"/>
  <c r="T11" i="67"/>
  <c r="V11" i="67"/>
  <c r="W11" i="67"/>
  <c r="X11" i="67"/>
  <c r="Y11" i="67"/>
  <c r="Z11" i="67"/>
  <c r="AA11" i="67"/>
  <c r="AC11" i="67"/>
  <c r="AD11" i="67"/>
  <c r="AE11" i="67"/>
  <c r="AF11" i="67"/>
  <c r="AG11" i="67"/>
  <c r="AG4" i="67"/>
  <c r="AF4" i="67"/>
  <c r="AE4" i="67"/>
  <c r="AD4" i="67"/>
  <c r="AC4" i="67"/>
  <c r="AA4" i="67"/>
  <c r="Z4" i="67"/>
  <c r="Y4" i="67"/>
  <c r="X4" i="67"/>
  <c r="W4" i="67"/>
  <c r="V4" i="67"/>
  <c r="P4" i="67"/>
  <c r="O4" i="67"/>
  <c r="AG3" i="67"/>
  <c r="AF3" i="67"/>
  <c r="AE3" i="67"/>
  <c r="AD3" i="67"/>
  <c r="AC3" i="67"/>
  <c r="AA3" i="67"/>
  <c r="Z3" i="67"/>
  <c r="Y3" i="67"/>
  <c r="X3" i="67"/>
  <c r="W3" i="67"/>
  <c r="V3" i="67"/>
  <c r="T3" i="67"/>
  <c r="S3" i="67"/>
  <c r="R3" i="67"/>
  <c r="Q3" i="67"/>
  <c r="T4" i="67"/>
  <c r="S4" i="67"/>
  <c r="R4" i="67"/>
  <c r="Q4" i="67"/>
  <c r="P3" i="67"/>
  <c r="O3" i="67"/>
  <c r="M11" i="67"/>
  <c r="L11" i="67"/>
  <c r="K11" i="67"/>
  <c r="J11" i="67"/>
  <c r="I11" i="67"/>
  <c r="H11" i="67"/>
  <c r="M10" i="67"/>
  <c r="L10" i="67"/>
  <c r="K10" i="67"/>
  <c r="J10" i="67"/>
  <c r="I10" i="67"/>
  <c r="H10" i="67"/>
  <c r="M9" i="67"/>
  <c r="L9" i="67"/>
  <c r="K9" i="67"/>
  <c r="J9" i="67"/>
  <c r="I9" i="67"/>
  <c r="H9" i="67"/>
  <c r="M8" i="67"/>
  <c r="L8" i="67"/>
  <c r="K8" i="67"/>
  <c r="J8" i="67"/>
  <c r="I8" i="67"/>
  <c r="H8" i="67"/>
  <c r="M7" i="67"/>
  <c r="L7" i="67"/>
  <c r="K7" i="67"/>
  <c r="J7" i="67"/>
  <c r="I7" i="67"/>
  <c r="H7" i="67"/>
  <c r="M6" i="67"/>
  <c r="L6" i="67"/>
  <c r="K6" i="67"/>
  <c r="J6" i="67"/>
  <c r="I6" i="67"/>
  <c r="H6" i="67"/>
  <c r="M5" i="67"/>
  <c r="L5" i="67"/>
  <c r="K5" i="67"/>
  <c r="J5" i="67"/>
  <c r="I5" i="67"/>
  <c r="H5" i="67"/>
  <c r="M4" i="67"/>
  <c r="M3" i="67"/>
  <c r="L4" i="67"/>
  <c r="L3" i="67"/>
  <c r="K4" i="67"/>
  <c r="K3" i="67"/>
  <c r="J4" i="67"/>
  <c r="J3" i="67"/>
  <c r="I3" i="67"/>
  <c r="I4" i="67"/>
  <c r="H4" i="67"/>
  <c r="H3" i="67"/>
  <c r="F6" i="67"/>
  <c r="F7" i="67"/>
  <c r="F8" i="67"/>
  <c r="F9" i="67"/>
  <c r="F10" i="67"/>
  <c r="F11" i="67"/>
  <c r="F5" i="67"/>
  <c r="F4" i="67"/>
  <c r="F3" i="67"/>
  <c r="E6" i="67"/>
  <c r="E7" i="67"/>
  <c r="E8" i="67"/>
  <c r="E9" i="67"/>
  <c r="E10" i="67"/>
  <c r="E11" i="67"/>
  <c r="E5" i="67"/>
  <c r="E4" i="67"/>
  <c r="E3" i="67"/>
  <c r="D5" i="67"/>
  <c r="D6" i="67"/>
  <c r="D7" i="67"/>
  <c r="D8" i="67"/>
  <c r="D9" i="67"/>
  <c r="D10" i="67"/>
  <c r="D11" i="67"/>
  <c r="D4" i="67"/>
  <c r="D3" i="67"/>
  <c r="C5" i="67"/>
  <c r="C6" i="67"/>
  <c r="C7" i="67"/>
  <c r="C8" i="67"/>
  <c r="C9" i="67"/>
  <c r="C10" i="67"/>
  <c r="C11" i="67"/>
  <c r="C4" i="67"/>
  <c r="C3" i="67"/>
  <c r="C14" i="4"/>
  <c r="D14" i="4"/>
  <c r="E14" i="4"/>
  <c r="F14" i="4"/>
  <c r="H14" i="4"/>
  <c r="I14" i="4"/>
  <c r="J14" i="4"/>
  <c r="K14" i="4"/>
  <c r="L14" i="4"/>
  <c r="M14" i="4"/>
  <c r="O14" i="4"/>
  <c r="P14" i="4"/>
  <c r="Q14" i="4"/>
  <c r="R14" i="4"/>
  <c r="S14" i="4"/>
  <c r="T14" i="4"/>
  <c r="V14" i="4"/>
  <c r="W14" i="4"/>
  <c r="X14" i="4"/>
  <c r="Y14" i="4"/>
  <c r="Z14" i="4"/>
  <c r="AA14" i="4"/>
  <c r="AC14" i="4"/>
  <c r="AD14" i="4"/>
  <c r="AE14" i="4"/>
  <c r="AF14" i="4"/>
  <c r="AG14" i="4"/>
  <c r="C15" i="4"/>
  <c r="D15" i="4"/>
  <c r="E15" i="4"/>
  <c r="F15" i="4"/>
  <c r="H15" i="4"/>
  <c r="I15" i="4"/>
  <c r="J15" i="4"/>
  <c r="K15" i="4"/>
  <c r="L15" i="4"/>
  <c r="M15" i="4"/>
  <c r="O15" i="4"/>
  <c r="P15" i="4"/>
  <c r="Q15" i="4"/>
  <c r="R15" i="4"/>
  <c r="S15" i="4"/>
  <c r="T15" i="4"/>
  <c r="V15" i="4"/>
  <c r="W15" i="4"/>
  <c r="X15" i="4"/>
  <c r="Y15" i="4"/>
  <c r="Z15" i="4"/>
  <c r="AA15" i="4"/>
  <c r="AC15" i="4"/>
  <c r="AD15" i="4"/>
  <c r="AE15" i="4"/>
  <c r="AF15" i="4"/>
  <c r="AG15" i="4"/>
  <c r="C16" i="4"/>
  <c r="D16" i="4"/>
  <c r="E16" i="4"/>
  <c r="F16" i="4"/>
  <c r="H16" i="4"/>
  <c r="I16" i="4"/>
  <c r="J16" i="4"/>
  <c r="K16" i="4"/>
  <c r="L16" i="4"/>
  <c r="M16" i="4"/>
  <c r="O16" i="4"/>
  <c r="P16" i="4"/>
  <c r="Q16" i="4"/>
  <c r="R16" i="4"/>
  <c r="S16" i="4"/>
  <c r="T16" i="4"/>
  <c r="V16" i="4"/>
  <c r="W16" i="4"/>
  <c r="X16" i="4"/>
  <c r="Y16" i="4"/>
  <c r="Z16" i="4"/>
  <c r="AA16" i="4"/>
  <c r="AC16" i="4"/>
  <c r="AD16" i="4"/>
  <c r="AE16" i="4"/>
  <c r="AF16" i="4"/>
  <c r="AG16" i="4"/>
  <c r="C17" i="4"/>
  <c r="D17" i="4"/>
  <c r="E17" i="4"/>
  <c r="F17" i="4"/>
  <c r="H17" i="4"/>
  <c r="I17" i="4"/>
  <c r="J17" i="4"/>
  <c r="K17" i="4"/>
  <c r="L17" i="4"/>
  <c r="M17" i="4"/>
  <c r="O17" i="4"/>
  <c r="P17" i="4"/>
  <c r="Q17" i="4"/>
  <c r="R17" i="4"/>
  <c r="S17" i="4"/>
  <c r="T17" i="4"/>
  <c r="V17" i="4"/>
  <c r="W17" i="4"/>
  <c r="X17" i="4"/>
  <c r="Y17" i="4"/>
  <c r="Z17" i="4"/>
  <c r="AA17" i="4"/>
  <c r="AC17" i="4"/>
  <c r="AD17" i="4"/>
  <c r="AE17" i="4"/>
  <c r="AF17" i="4"/>
  <c r="AG17" i="4"/>
  <c r="C18" i="4"/>
  <c r="D18" i="4"/>
  <c r="E18" i="4"/>
  <c r="F18" i="4"/>
  <c r="H18" i="4"/>
  <c r="I18" i="4"/>
  <c r="J18" i="4"/>
  <c r="K18" i="4"/>
  <c r="L18" i="4"/>
  <c r="M18" i="4"/>
  <c r="O18" i="4"/>
  <c r="P18" i="4"/>
  <c r="Q18" i="4"/>
  <c r="R18" i="4"/>
  <c r="S18" i="4"/>
  <c r="T18" i="4"/>
  <c r="V18" i="4"/>
  <c r="W18" i="4"/>
  <c r="X18" i="4"/>
  <c r="Y18" i="4"/>
  <c r="Z18" i="4"/>
  <c r="AA18" i="4"/>
  <c r="AC18" i="4"/>
  <c r="AD18" i="4"/>
  <c r="AE18" i="4"/>
  <c r="AF18" i="4"/>
  <c r="AG18" i="4"/>
  <c r="C19" i="4"/>
  <c r="D19" i="4"/>
  <c r="E19" i="4"/>
  <c r="F19" i="4"/>
  <c r="H19" i="4"/>
  <c r="I19" i="4"/>
  <c r="J19" i="4"/>
  <c r="K19" i="4"/>
  <c r="L19" i="4"/>
  <c r="M19" i="4"/>
  <c r="O19" i="4"/>
  <c r="P19" i="4"/>
  <c r="Q19" i="4"/>
  <c r="R19" i="4"/>
  <c r="S19" i="4"/>
  <c r="T19" i="4"/>
  <c r="V19" i="4"/>
  <c r="W19" i="4"/>
  <c r="X19" i="4"/>
  <c r="Y19" i="4"/>
  <c r="Z19" i="4"/>
  <c r="AA19" i="4"/>
  <c r="AC19" i="4"/>
  <c r="AD19" i="4"/>
  <c r="AE19" i="4"/>
  <c r="AF19" i="4"/>
  <c r="AG19" i="4"/>
  <c r="C20" i="4"/>
  <c r="D20" i="4"/>
  <c r="E20" i="4"/>
  <c r="F20" i="4"/>
  <c r="H20" i="4"/>
  <c r="I20" i="4"/>
  <c r="J20" i="4"/>
  <c r="K20" i="4"/>
  <c r="L20" i="4"/>
  <c r="M20" i="4"/>
  <c r="O20" i="4"/>
  <c r="P20" i="4"/>
  <c r="Q20" i="4"/>
  <c r="R20" i="4"/>
  <c r="S20" i="4"/>
  <c r="T20" i="4"/>
  <c r="V20" i="4"/>
  <c r="W20" i="4"/>
  <c r="X20" i="4"/>
  <c r="Y20" i="4"/>
  <c r="Z20" i="4"/>
  <c r="AA20" i="4"/>
  <c r="AC20" i="4"/>
  <c r="AD20" i="4"/>
  <c r="AE20" i="4"/>
  <c r="AF20" i="4"/>
  <c r="AG20" i="4"/>
  <c r="C21" i="4"/>
  <c r="D21" i="4"/>
  <c r="E21" i="4"/>
  <c r="F21" i="4"/>
  <c r="H21" i="4"/>
  <c r="I21" i="4"/>
  <c r="J21" i="4"/>
  <c r="K21" i="4"/>
  <c r="L21" i="4"/>
  <c r="M21" i="4"/>
  <c r="O21" i="4"/>
  <c r="P21" i="4"/>
  <c r="Q21" i="4"/>
  <c r="R21" i="4"/>
  <c r="S21" i="4"/>
  <c r="T21" i="4"/>
  <c r="V21" i="4"/>
  <c r="W21" i="4"/>
  <c r="X21" i="4"/>
  <c r="Y21" i="4"/>
  <c r="Z21" i="4"/>
  <c r="AA21" i="4"/>
  <c r="AC21" i="4"/>
  <c r="AD21" i="4"/>
  <c r="AE21" i="4"/>
  <c r="AF21" i="4"/>
  <c r="AG21" i="4"/>
  <c r="C22" i="4"/>
  <c r="D22" i="4"/>
  <c r="E22" i="4"/>
  <c r="F22" i="4"/>
  <c r="H22" i="4"/>
  <c r="I22" i="4"/>
  <c r="J22" i="4"/>
  <c r="K22" i="4"/>
  <c r="L22" i="4"/>
  <c r="M22" i="4"/>
  <c r="O22" i="4"/>
  <c r="P22" i="4"/>
  <c r="Q22" i="4"/>
  <c r="R22" i="4"/>
  <c r="S22" i="4"/>
  <c r="T22" i="4"/>
  <c r="V22" i="4"/>
  <c r="W22" i="4"/>
  <c r="X22" i="4"/>
  <c r="Y22" i="4"/>
  <c r="Z22" i="4"/>
  <c r="AA22" i="4"/>
  <c r="AC22" i="4"/>
  <c r="AD22" i="4"/>
  <c r="AE22" i="4"/>
  <c r="AF22" i="4"/>
  <c r="AG22" i="4"/>
  <c r="C23" i="4"/>
  <c r="D23" i="4"/>
  <c r="E23" i="4"/>
  <c r="F23" i="4"/>
  <c r="H23" i="4"/>
  <c r="I23" i="4"/>
  <c r="J23" i="4"/>
  <c r="K23" i="4"/>
  <c r="L23" i="4"/>
  <c r="M23" i="4"/>
  <c r="O23" i="4"/>
  <c r="P23" i="4"/>
  <c r="Q23" i="4"/>
  <c r="R23" i="4"/>
  <c r="S23" i="4"/>
  <c r="T23" i="4"/>
  <c r="V23" i="4"/>
  <c r="W23" i="4"/>
  <c r="X23" i="4"/>
  <c r="Y23" i="4"/>
  <c r="Z23" i="4"/>
  <c r="AA23" i="4"/>
  <c r="AC23" i="4"/>
  <c r="AD23" i="4"/>
  <c r="AE23" i="4"/>
  <c r="AF23" i="4"/>
  <c r="AG23" i="4"/>
  <c r="C24" i="4"/>
  <c r="D24" i="4"/>
  <c r="E24" i="4"/>
  <c r="F24" i="4"/>
  <c r="H24" i="4"/>
  <c r="I24" i="4"/>
  <c r="J24" i="4"/>
  <c r="K24" i="4"/>
  <c r="L24" i="4"/>
  <c r="M24" i="4"/>
  <c r="O24" i="4"/>
  <c r="P24" i="4"/>
  <c r="Q24" i="4"/>
  <c r="R24" i="4"/>
  <c r="S24" i="4"/>
  <c r="T24" i="4"/>
  <c r="V24" i="4"/>
  <c r="W24" i="4"/>
  <c r="X24" i="4"/>
  <c r="Y24" i="4"/>
  <c r="Z24" i="4"/>
  <c r="AA24" i="4"/>
  <c r="AC24" i="4"/>
  <c r="AD24" i="4"/>
  <c r="AE24" i="4"/>
  <c r="AF24" i="4"/>
  <c r="AG24" i="4"/>
  <c r="C27" i="4"/>
  <c r="D27" i="4"/>
  <c r="E27" i="4"/>
  <c r="F27" i="4"/>
  <c r="H27" i="4"/>
  <c r="I27" i="4"/>
  <c r="J27" i="4"/>
  <c r="K27" i="4"/>
  <c r="L27" i="4"/>
  <c r="M27" i="4"/>
  <c r="O27" i="4"/>
  <c r="P27" i="4"/>
  <c r="Q27" i="4"/>
  <c r="R27" i="4"/>
  <c r="S27" i="4"/>
  <c r="T27" i="4"/>
  <c r="V27" i="4"/>
  <c r="W27" i="4"/>
  <c r="X27" i="4"/>
  <c r="Y27" i="4"/>
  <c r="Z27" i="4"/>
  <c r="AA27" i="4"/>
  <c r="AC27" i="4"/>
  <c r="AD27" i="4"/>
  <c r="AE27" i="4"/>
  <c r="AF27" i="4"/>
  <c r="AG27" i="4"/>
  <c r="C28" i="4"/>
  <c r="D28" i="4"/>
  <c r="E28" i="4"/>
  <c r="F28" i="4"/>
  <c r="H28" i="4"/>
  <c r="I28" i="4"/>
  <c r="J28" i="4"/>
  <c r="K28" i="4"/>
  <c r="L28" i="4"/>
  <c r="M28" i="4"/>
  <c r="O28" i="4"/>
  <c r="P28" i="4"/>
  <c r="Q28" i="4"/>
  <c r="R28" i="4"/>
  <c r="S28" i="4"/>
  <c r="T28" i="4"/>
  <c r="V28" i="4"/>
  <c r="W28" i="4"/>
  <c r="X28" i="4"/>
  <c r="Y28" i="4"/>
  <c r="Z28" i="4"/>
  <c r="AA28" i="4"/>
  <c r="AC28" i="4"/>
  <c r="AD28" i="4"/>
  <c r="AE28" i="4"/>
  <c r="AF28" i="4"/>
  <c r="AG28" i="4"/>
  <c r="C29" i="4"/>
  <c r="D29" i="4"/>
  <c r="E29" i="4"/>
  <c r="F29" i="4"/>
  <c r="H29" i="4"/>
  <c r="I29" i="4"/>
  <c r="J29" i="4"/>
  <c r="K29" i="4"/>
  <c r="L29" i="4"/>
  <c r="M29" i="4"/>
  <c r="O29" i="4"/>
  <c r="P29" i="4"/>
  <c r="Q29" i="4"/>
  <c r="R29" i="4"/>
  <c r="S29" i="4"/>
  <c r="T29" i="4"/>
  <c r="V29" i="4"/>
  <c r="W29" i="4"/>
  <c r="X29" i="4"/>
  <c r="Y29" i="4"/>
  <c r="Z29" i="4"/>
  <c r="AA29" i="4"/>
  <c r="AC29" i="4"/>
  <c r="AD29" i="4"/>
  <c r="AE29" i="4"/>
  <c r="AF29" i="4"/>
  <c r="AG29" i="4"/>
  <c r="C30" i="4"/>
  <c r="D30" i="4"/>
  <c r="E30" i="4"/>
  <c r="F30" i="4"/>
  <c r="H30" i="4"/>
  <c r="I30" i="4"/>
  <c r="J30" i="4"/>
  <c r="K30" i="4"/>
  <c r="L30" i="4"/>
  <c r="M30" i="4"/>
  <c r="O30" i="4"/>
  <c r="P30" i="4"/>
  <c r="Q30" i="4"/>
  <c r="R30" i="4"/>
  <c r="S30" i="4"/>
  <c r="T30" i="4"/>
  <c r="V30" i="4"/>
  <c r="W30" i="4"/>
  <c r="X30" i="4"/>
  <c r="Y30" i="4"/>
  <c r="Z30" i="4"/>
  <c r="AA30" i="4"/>
  <c r="AC30" i="4"/>
  <c r="AD30" i="4"/>
  <c r="AE30" i="4"/>
  <c r="AF30" i="4"/>
  <c r="AG30" i="4"/>
  <c r="C31" i="4"/>
  <c r="D31" i="4"/>
  <c r="E31" i="4"/>
  <c r="F31" i="4"/>
  <c r="H31" i="4"/>
  <c r="I31" i="4"/>
  <c r="J31" i="4"/>
  <c r="K31" i="4"/>
  <c r="L31" i="4"/>
  <c r="M31" i="4"/>
  <c r="O31" i="4"/>
  <c r="P31" i="4"/>
  <c r="Q31" i="4"/>
  <c r="R31" i="4"/>
  <c r="S31" i="4"/>
  <c r="T31" i="4"/>
  <c r="V31" i="4"/>
  <c r="W31" i="4"/>
  <c r="X31" i="4"/>
  <c r="Y31" i="4"/>
  <c r="Z31" i="4"/>
  <c r="AA31" i="4"/>
  <c r="AC31" i="4"/>
  <c r="AD31" i="4"/>
  <c r="AE31" i="4"/>
  <c r="AF31" i="4"/>
  <c r="AG31" i="4"/>
  <c r="AC4" i="4"/>
  <c r="AC5" i="4"/>
  <c r="AC6" i="4"/>
  <c r="AC7" i="4"/>
  <c r="AC8" i="4"/>
  <c r="AC9" i="4"/>
  <c r="AC10" i="4"/>
  <c r="AC11" i="4"/>
  <c r="AG4" i="4"/>
  <c r="AG5" i="4"/>
  <c r="AG6" i="4"/>
  <c r="AG7" i="4"/>
  <c r="AG8" i="4"/>
  <c r="AG9" i="4"/>
  <c r="AG10" i="4"/>
  <c r="AG11" i="4"/>
  <c r="AG3" i="4"/>
  <c r="AC3" i="4"/>
  <c r="W4" i="4"/>
  <c r="W5" i="4"/>
  <c r="W6" i="4"/>
  <c r="W7" i="4"/>
  <c r="W8" i="4"/>
  <c r="W9" i="4"/>
  <c r="W10" i="4"/>
  <c r="W11" i="4"/>
  <c r="W3" i="4"/>
  <c r="I35" i="75"/>
  <c r="H35" i="75"/>
  <c r="G35" i="75"/>
  <c r="F35" i="75"/>
  <c r="E35" i="75"/>
  <c r="D35" i="75"/>
  <c r="C35" i="75"/>
  <c r="T4" i="4"/>
  <c r="T5" i="4"/>
  <c r="T6" i="4"/>
  <c r="T7" i="4"/>
  <c r="T8" i="4"/>
  <c r="T9" i="4"/>
  <c r="T10" i="4"/>
  <c r="T11" i="4"/>
  <c r="T3" i="4"/>
  <c r="M4" i="4"/>
  <c r="M5" i="4"/>
  <c r="M6" i="4"/>
  <c r="M7" i="4"/>
  <c r="M8" i="4"/>
  <c r="M9" i="4"/>
  <c r="M10" i="4"/>
  <c r="M11" i="4"/>
  <c r="M3" i="4"/>
  <c r="I35" i="74"/>
  <c r="H35" i="74"/>
  <c r="G35" i="74"/>
  <c r="F35" i="74"/>
  <c r="E35" i="74"/>
  <c r="D35" i="74"/>
  <c r="C35" i="74"/>
  <c r="AI14" i="72" l="1"/>
  <c r="I16" i="37" s="1"/>
  <c r="AI3" i="69"/>
  <c r="F5" i="37" s="1"/>
  <c r="AI3" i="72"/>
  <c r="I5" i="37" s="1"/>
  <c r="AI8" i="69"/>
  <c r="F10" i="37" s="1"/>
  <c r="AI31" i="72"/>
  <c r="I33" i="37" s="1"/>
  <c r="AI31" i="71"/>
  <c r="H33" i="37" s="1"/>
  <c r="AI27" i="72"/>
  <c r="I29" i="37" s="1"/>
  <c r="AI11" i="72"/>
  <c r="I13" i="37" s="1"/>
  <c r="AI4" i="70"/>
  <c r="G6" i="37" s="1"/>
  <c r="AI31" i="68"/>
  <c r="E33" i="37" s="1"/>
  <c r="AI27" i="70"/>
  <c r="G29" i="37" s="1"/>
  <c r="AI31" i="69"/>
  <c r="F33" i="37" s="1"/>
  <c r="AI11" i="69"/>
  <c r="F13" i="37" s="1"/>
  <c r="AI28" i="69"/>
  <c r="F30" i="37" s="1"/>
  <c r="AI23" i="69"/>
  <c r="F25" i="37" s="1"/>
  <c r="AI14" i="68"/>
  <c r="E16" i="37" s="1"/>
  <c r="AI29" i="68"/>
  <c r="E31" i="37" s="1"/>
  <c r="AI9" i="68"/>
  <c r="E11" i="37" s="1"/>
  <c r="AI20" i="72"/>
  <c r="I22" i="37" s="1"/>
  <c r="AI7" i="70"/>
  <c r="G9" i="37" s="1"/>
  <c r="AI7" i="72"/>
  <c r="I9" i="37" s="1"/>
  <c r="AI23" i="68"/>
  <c r="E25" i="37" s="1"/>
  <c r="AI10" i="70"/>
  <c r="G12" i="37" s="1"/>
  <c r="AI22" i="70"/>
  <c r="G24" i="37" s="1"/>
  <c r="AI19" i="70"/>
  <c r="G21" i="37" s="1"/>
  <c r="AI18" i="71"/>
  <c r="H20" i="37" s="1"/>
  <c r="AI4" i="71"/>
  <c r="H6" i="37" s="1"/>
  <c r="AI15" i="68"/>
  <c r="E17" i="37" s="1"/>
  <c r="AI15" i="72"/>
  <c r="I17" i="37" s="1"/>
  <c r="AI11" i="71"/>
  <c r="H13" i="37" s="1"/>
  <c r="AI30" i="72"/>
  <c r="I32" i="37" s="1"/>
  <c r="AI14" i="70"/>
  <c r="G16" i="37" s="1"/>
  <c r="AI28" i="71"/>
  <c r="H30" i="37" s="1"/>
  <c r="AI23" i="71"/>
  <c r="H25" i="37" s="1"/>
  <c r="AI22" i="68"/>
  <c r="E24" i="37" s="1"/>
  <c r="AI15" i="69"/>
  <c r="F17" i="37" s="1"/>
  <c r="AI7" i="69"/>
  <c r="F9" i="37" s="1"/>
  <c r="AI18" i="70"/>
  <c r="G20" i="37" s="1"/>
  <c r="AI15" i="70"/>
  <c r="G17" i="37" s="1"/>
  <c r="AI28" i="68"/>
  <c r="E30" i="37" s="1"/>
  <c r="AI19" i="69"/>
  <c r="F21" i="37" s="1"/>
  <c r="AI30" i="70"/>
  <c r="G32" i="37" s="1"/>
  <c r="AI29" i="71"/>
  <c r="H31" i="37" s="1"/>
  <c r="AI9" i="71"/>
  <c r="H11" i="37" s="1"/>
  <c r="AI28" i="72"/>
  <c r="I30" i="37" s="1"/>
  <c r="AI23" i="72"/>
  <c r="I25" i="37" s="1"/>
  <c r="AI6" i="71"/>
  <c r="H8" i="37" s="1"/>
  <c r="AI30" i="71"/>
  <c r="H32" i="37" s="1"/>
  <c r="AI7" i="71"/>
  <c r="H9" i="37" s="1"/>
  <c r="AI31" i="67"/>
  <c r="D33" i="37" s="1"/>
  <c r="AI28" i="70"/>
  <c r="G30" i="37" s="1"/>
  <c r="AI22" i="71"/>
  <c r="H24" i="37" s="1"/>
  <c r="AI14" i="69"/>
  <c r="F16" i="37" s="1"/>
  <c r="AI18" i="72"/>
  <c r="I20" i="37" s="1"/>
  <c r="AI10" i="68"/>
  <c r="E12" i="37" s="1"/>
  <c r="AI29" i="69"/>
  <c r="F31" i="37" s="1"/>
  <c r="AI9" i="69"/>
  <c r="F11" i="37" s="1"/>
  <c r="AI7" i="68"/>
  <c r="E9" i="37" s="1"/>
  <c r="AI6" i="69"/>
  <c r="F8" i="37" s="1"/>
  <c r="AI3" i="71"/>
  <c r="H5" i="37" s="1"/>
  <c r="AI4" i="72"/>
  <c r="I6" i="37" s="1"/>
  <c r="AI10" i="72"/>
  <c r="I12" i="37" s="1"/>
  <c r="AI17" i="69"/>
  <c r="F19" i="37" s="1"/>
  <c r="AI10" i="69"/>
  <c r="F12" i="37" s="1"/>
  <c r="AI29" i="72"/>
  <c r="I31" i="37" s="1"/>
  <c r="AI6" i="72"/>
  <c r="I8" i="37" s="1"/>
  <c r="AI18" i="68"/>
  <c r="E20" i="37" s="1"/>
  <c r="AI24" i="71"/>
  <c r="H26" i="37" s="1"/>
  <c r="AI14" i="71"/>
  <c r="H16" i="37" s="1"/>
  <c r="AI22" i="72"/>
  <c r="I24" i="37" s="1"/>
  <c r="AI24" i="68"/>
  <c r="E26" i="37" s="1"/>
  <c r="AI22" i="69"/>
  <c r="F24" i="37" s="1"/>
  <c r="AI16" i="70"/>
  <c r="G18" i="37" s="1"/>
  <c r="AI10" i="71"/>
  <c r="H12" i="37" s="1"/>
  <c r="AI18" i="69"/>
  <c r="F20" i="37" s="1"/>
  <c r="AI29" i="70"/>
  <c r="G31" i="37" s="1"/>
  <c r="AI20" i="69"/>
  <c r="F22" i="37" s="1"/>
  <c r="AI8" i="70"/>
  <c r="G10" i="37" s="1"/>
  <c r="AI9" i="72"/>
  <c r="I11" i="37" s="1"/>
  <c r="AI9" i="70"/>
  <c r="G11" i="37" s="1"/>
  <c r="AI6" i="68"/>
  <c r="E8" i="37" s="1"/>
  <c r="AI31" i="70"/>
  <c r="G33" i="37" s="1"/>
  <c r="AI6" i="70"/>
  <c r="G8" i="37" s="1"/>
  <c r="AI3" i="67"/>
  <c r="D5" i="37" s="1"/>
  <c r="AI24" i="72"/>
  <c r="I26" i="37" s="1"/>
  <c r="AI5" i="70"/>
  <c r="G7" i="37" s="1"/>
  <c r="AI21" i="69"/>
  <c r="F23" i="37" s="1"/>
  <c r="AI20" i="70"/>
  <c r="G22" i="37" s="1"/>
  <c r="AI27" i="71"/>
  <c r="H29" i="37" s="1"/>
  <c r="AI17" i="70"/>
  <c r="G19" i="37" s="1"/>
  <c r="AI14" i="67"/>
  <c r="D16" i="37" s="1"/>
  <c r="AI24" i="69"/>
  <c r="F26" i="37" s="1"/>
  <c r="AI3" i="68"/>
  <c r="E5" i="37" s="1"/>
  <c r="AI16" i="68"/>
  <c r="E18" i="37" s="1"/>
  <c r="AI19" i="71"/>
  <c r="H21" i="37" s="1"/>
  <c r="AI16" i="72"/>
  <c r="I18" i="37" s="1"/>
  <c r="AI5" i="72"/>
  <c r="I7" i="37" s="1"/>
  <c r="AI11" i="68"/>
  <c r="E13" i="37" s="1"/>
  <c r="AI17" i="72"/>
  <c r="I19" i="37" s="1"/>
  <c r="AI8" i="72"/>
  <c r="I10" i="37" s="1"/>
  <c r="AI21" i="71"/>
  <c r="H23" i="37" s="1"/>
  <c r="AI3" i="70"/>
  <c r="G5" i="37" s="1"/>
  <c r="AI19" i="72"/>
  <c r="I21" i="37" s="1"/>
  <c r="AI21" i="72"/>
  <c r="I23" i="37" s="1"/>
  <c r="AI4" i="69"/>
  <c r="F6" i="37" s="1"/>
  <c r="AI27" i="68"/>
  <c r="E29" i="37" s="1"/>
  <c r="AI5" i="68"/>
  <c r="E7" i="37" s="1"/>
  <c r="AI11" i="70"/>
  <c r="G13" i="37" s="1"/>
  <c r="AI17" i="68"/>
  <c r="E19" i="37" s="1"/>
  <c r="AI21" i="70"/>
  <c r="G23" i="37" s="1"/>
  <c r="AI15" i="71"/>
  <c r="H17" i="37" s="1"/>
  <c r="AI8" i="71"/>
  <c r="H10" i="37" s="1"/>
  <c r="AI16" i="71"/>
  <c r="H18" i="37" s="1"/>
  <c r="AI19" i="68"/>
  <c r="E21" i="37" s="1"/>
  <c r="AI8" i="68"/>
  <c r="E10" i="37" s="1"/>
  <c r="AI23" i="70"/>
  <c r="G25" i="37" s="1"/>
  <c r="AI17" i="71"/>
  <c r="H19" i="37" s="1"/>
  <c r="AI20" i="68"/>
  <c r="E22" i="37" s="1"/>
  <c r="AI21" i="68"/>
  <c r="E23" i="37" s="1"/>
  <c r="AI30" i="69"/>
  <c r="F32" i="37" s="1"/>
  <c r="AI27" i="69"/>
  <c r="F29" i="37" s="1"/>
  <c r="AI16" i="69"/>
  <c r="F18" i="37" s="1"/>
  <c r="AI5" i="69"/>
  <c r="F7" i="37" s="1"/>
  <c r="AI24" i="70"/>
  <c r="G26" i="37" s="1"/>
  <c r="AI20" i="71"/>
  <c r="H22" i="37" s="1"/>
  <c r="AI5" i="71"/>
  <c r="H7" i="37" s="1"/>
  <c r="AI27" i="67"/>
  <c r="D29" i="37" s="1"/>
  <c r="AI28" i="67"/>
  <c r="D30" i="37" s="1"/>
  <c r="AI22" i="67"/>
  <c r="D24" i="37" s="1"/>
  <c r="AI16" i="67"/>
  <c r="D18" i="37" s="1"/>
  <c r="AI19" i="67"/>
  <c r="D21" i="37" s="1"/>
  <c r="AI17" i="67"/>
  <c r="D19" i="37" s="1"/>
  <c r="AI18" i="67"/>
  <c r="D20" i="37" s="1"/>
  <c r="AI23" i="67"/>
  <c r="D25" i="37" s="1"/>
  <c r="AI21" i="67"/>
  <c r="D23" i="37" s="1"/>
  <c r="AI30" i="67"/>
  <c r="D32" i="37" s="1"/>
  <c r="AI15" i="67"/>
  <c r="D17" i="37" s="1"/>
  <c r="AI20" i="67"/>
  <c r="D22" i="37" s="1"/>
  <c r="AI29" i="67"/>
  <c r="D31" i="37" s="1"/>
  <c r="AI24" i="67"/>
  <c r="D26" i="37" s="1"/>
  <c r="AI30" i="68"/>
  <c r="E32" i="37" s="1"/>
  <c r="AI4" i="68"/>
  <c r="E6" i="37" s="1"/>
  <c r="AI7" i="67"/>
  <c r="D9" i="37" s="1"/>
  <c r="AI4" i="67"/>
  <c r="D6" i="37" s="1"/>
  <c r="AI10" i="67"/>
  <c r="D12" i="37" s="1"/>
  <c r="AI11" i="67"/>
  <c r="D13" i="37" s="1"/>
  <c r="AI9" i="67"/>
  <c r="D11" i="37" s="1"/>
  <c r="AI5" i="67"/>
  <c r="D7" i="37" s="1"/>
  <c r="AI6" i="67"/>
  <c r="D8" i="37" s="1"/>
  <c r="AI8" i="67"/>
  <c r="D10" i="37" s="1"/>
  <c r="E4" i="4"/>
  <c r="F4" i="4"/>
  <c r="H4" i="4"/>
  <c r="I4" i="4"/>
  <c r="J4" i="4"/>
  <c r="K4" i="4"/>
  <c r="L4" i="4"/>
  <c r="O4" i="4"/>
  <c r="P4" i="4"/>
  <c r="Q4" i="4"/>
  <c r="R4" i="4"/>
  <c r="S4" i="4"/>
  <c r="V4" i="4"/>
  <c r="X4" i="4"/>
  <c r="Y4" i="4"/>
  <c r="Z4" i="4"/>
  <c r="AA4" i="4"/>
  <c r="AD4" i="4"/>
  <c r="AE4" i="4"/>
  <c r="AF4" i="4"/>
  <c r="E5" i="4"/>
  <c r="F5" i="4"/>
  <c r="H5" i="4"/>
  <c r="I5" i="4"/>
  <c r="J5" i="4"/>
  <c r="K5" i="4"/>
  <c r="L5" i="4"/>
  <c r="O5" i="4"/>
  <c r="P5" i="4"/>
  <c r="Q5" i="4"/>
  <c r="R5" i="4"/>
  <c r="S5" i="4"/>
  <c r="V5" i="4"/>
  <c r="X5" i="4"/>
  <c r="Y5" i="4"/>
  <c r="Z5" i="4"/>
  <c r="AA5" i="4"/>
  <c r="AD5" i="4"/>
  <c r="AE5" i="4"/>
  <c r="AF5" i="4"/>
  <c r="E6" i="4"/>
  <c r="F6" i="4"/>
  <c r="H6" i="4"/>
  <c r="I6" i="4"/>
  <c r="J6" i="4"/>
  <c r="K6" i="4"/>
  <c r="L6" i="4"/>
  <c r="O6" i="4"/>
  <c r="P6" i="4"/>
  <c r="Q6" i="4"/>
  <c r="R6" i="4"/>
  <c r="S6" i="4"/>
  <c r="V6" i="4"/>
  <c r="X6" i="4"/>
  <c r="Y6" i="4"/>
  <c r="Z6" i="4"/>
  <c r="AA6" i="4"/>
  <c r="AD6" i="4"/>
  <c r="AE6" i="4"/>
  <c r="AF6" i="4"/>
  <c r="E7" i="4"/>
  <c r="F7" i="4"/>
  <c r="H7" i="4"/>
  <c r="I7" i="4"/>
  <c r="J7" i="4"/>
  <c r="K7" i="4"/>
  <c r="L7" i="4"/>
  <c r="O7" i="4"/>
  <c r="P7" i="4"/>
  <c r="Q7" i="4"/>
  <c r="R7" i="4"/>
  <c r="S7" i="4"/>
  <c r="V7" i="4"/>
  <c r="X7" i="4"/>
  <c r="Y7" i="4"/>
  <c r="Z7" i="4"/>
  <c r="AA7" i="4"/>
  <c r="AD7" i="4"/>
  <c r="AE7" i="4"/>
  <c r="AF7" i="4"/>
  <c r="E8" i="4"/>
  <c r="F8" i="4"/>
  <c r="H8" i="4"/>
  <c r="I8" i="4"/>
  <c r="J8" i="4"/>
  <c r="K8" i="4"/>
  <c r="L8" i="4"/>
  <c r="O8" i="4"/>
  <c r="P8" i="4"/>
  <c r="Q8" i="4"/>
  <c r="R8" i="4"/>
  <c r="S8" i="4"/>
  <c r="V8" i="4"/>
  <c r="X8" i="4"/>
  <c r="Y8" i="4"/>
  <c r="Z8" i="4"/>
  <c r="AA8" i="4"/>
  <c r="AD8" i="4"/>
  <c r="AE8" i="4"/>
  <c r="AF8" i="4"/>
  <c r="E9" i="4"/>
  <c r="F9" i="4"/>
  <c r="H9" i="4"/>
  <c r="I9" i="4"/>
  <c r="J9" i="4"/>
  <c r="K9" i="4"/>
  <c r="L9" i="4"/>
  <c r="O9" i="4"/>
  <c r="P9" i="4"/>
  <c r="Q9" i="4"/>
  <c r="R9" i="4"/>
  <c r="S9" i="4"/>
  <c r="V9" i="4"/>
  <c r="X9" i="4"/>
  <c r="Y9" i="4"/>
  <c r="Z9" i="4"/>
  <c r="AA9" i="4"/>
  <c r="AD9" i="4"/>
  <c r="AE9" i="4"/>
  <c r="AF9" i="4"/>
  <c r="E10" i="4"/>
  <c r="F10" i="4"/>
  <c r="H10" i="4"/>
  <c r="I10" i="4"/>
  <c r="J10" i="4"/>
  <c r="K10" i="4"/>
  <c r="L10" i="4"/>
  <c r="O10" i="4"/>
  <c r="P10" i="4"/>
  <c r="Q10" i="4"/>
  <c r="R10" i="4"/>
  <c r="S10" i="4"/>
  <c r="V10" i="4"/>
  <c r="X10" i="4"/>
  <c r="Y10" i="4"/>
  <c r="Z10" i="4"/>
  <c r="AA10" i="4"/>
  <c r="AD10" i="4"/>
  <c r="AE10" i="4"/>
  <c r="AF10" i="4"/>
  <c r="E11" i="4"/>
  <c r="F11" i="4"/>
  <c r="H11" i="4"/>
  <c r="I11" i="4"/>
  <c r="J11" i="4"/>
  <c r="K11" i="4"/>
  <c r="L11" i="4"/>
  <c r="O11" i="4"/>
  <c r="P11" i="4"/>
  <c r="Q11" i="4"/>
  <c r="R11" i="4"/>
  <c r="S11" i="4"/>
  <c r="V11" i="4"/>
  <c r="X11" i="4"/>
  <c r="Y11" i="4"/>
  <c r="Z11" i="4"/>
  <c r="AA11" i="4"/>
  <c r="AD11" i="4"/>
  <c r="AE11" i="4"/>
  <c r="AF11" i="4"/>
  <c r="AF3" i="4"/>
  <c r="AE3" i="4"/>
  <c r="AD3" i="4"/>
  <c r="AA3" i="4"/>
  <c r="Z3" i="4"/>
  <c r="Y3" i="4"/>
  <c r="X3" i="4"/>
  <c r="V3" i="4"/>
  <c r="S3" i="4"/>
  <c r="R3" i="4"/>
  <c r="Q3" i="4"/>
  <c r="P3" i="4"/>
  <c r="O3" i="4"/>
  <c r="L3" i="4"/>
  <c r="K3" i="4"/>
  <c r="J3" i="4"/>
  <c r="I3" i="4"/>
  <c r="H3" i="4"/>
  <c r="F3" i="4"/>
  <c r="E3" i="4"/>
  <c r="D4" i="4"/>
  <c r="D5" i="4"/>
  <c r="D6" i="4"/>
  <c r="D7" i="4"/>
  <c r="D8" i="4"/>
  <c r="D9" i="4"/>
  <c r="D10" i="4"/>
  <c r="D11" i="4"/>
  <c r="D3" i="4"/>
  <c r="C4" i="4"/>
  <c r="C5" i="4"/>
  <c r="C6" i="4"/>
  <c r="C7" i="4"/>
  <c r="C8" i="4"/>
  <c r="C9" i="4"/>
  <c r="C10" i="4"/>
  <c r="C11" i="4"/>
  <c r="C3" i="4"/>
  <c r="I35" i="66"/>
  <c r="H35" i="66"/>
  <c r="G35" i="66"/>
  <c r="F35" i="66"/>
  <c r="E35" i="66"/>
  <c r="D35" i="66"/>
  <c r="C35" i="66"/>
  <c r="I35" i="65"/>
  <c r="H35" i="65"/>
  <c r="G35" i="65"/>
  <c r="F35" i="65"/>
  <c r="E35" i="65"/>
  <c r="D35" i="65"/>
  <c r="C35" i="65"/>
  <c r="I35" i="63"/>
  <c r="H35" i="63"/>
  <c r="G35" i="63"/>
  <c r="F35" i="63"/>
  <c r="E35" i="63"/>
  <c r="D35" i="63"/>
  <c r="C35" i="63"/>
  <c r="I35" i="62"/>
  <c r="H35" i="62"/>
  <c r="G35" i="62"/>
  <c r="F35" i="62"/>
  <c r="E35" i="62"/>
  <c r="D35" i="62"/>
  <c r="C35" i="62"/>
  <c r="I35" i="61"/>
  <c r="H35" i="61"/>
  <c r="G35" i="61"/>
  <c r="F35" i="61"/>
  <c r="E35" i="61"/>
  <c r="D35" i="61"/>
  <c r="C35" i="61"/>
  <c r="I35" i="60"/>
  <c r="H35" i="60"/>
  <c r="G35" i="60"/>
  <c r="F35" i="60"/>
  <c r="E35" i="60"/>
  <c r="D35" i="60"/>
  <c r="C35" i="60"/>
  <c r="I35" i="59"/>
  <c r="H35" i="59"/>
  <c r="G35" i="59"/>
  <c r="F35" i="59"/>
  <c r="E35" i="59"/>
  <c r="D35" i="59"/>
  <c r="C35" i="59"/>
  <c r="I35" i="58"/>
  <c r="H35" i="58"/>
  <c r="G35" i="58"/>
  <c r="F35" i="58"/>
  <c r="E35" i="58"/>
  <c r="D35" i="58"/>
  <c r="C35" i="58"/>
  <c r="I35" i="56"/>
  <c r="H35" i="56"/>
  <c r="G35" i="56"/>
  <c r="F35" i="56"/>
  <c r="E35" i="56"/>
  <c r="D35" i="56"/>
  <c r="C35" i="56"/>
  <c r="I35" i="55"/>
  <c r="H35" i="55"/>
  <c r="G35" i="55"/>
  <c r="F35" i="55"/>
  <c r="E35" i="55"/>
  <c r="D35" i="55"/>
  <c r="C35" i="55"/>
  <c r="I35" i="54"/>
  <c r="H35" i="54"/>
  <c r="G35" i="54"/>
  <c r="F35" i="54"/>
  <c r="E35" i="54"/>
  <c r="D35" i="54"/>
  <c r="C35" i="54"/>
  <c r="I35" i="53"/>
  <c r="H35" i="53"/>
  <c r="G35" i="53"/>
  <c r="F35" i="53"/>
  <c r="E35" i="53"/>
  <c r="D35" i="53"/>
  <c r="C35" i="53"/>
  <c r="I35" i="52"/>
  <c r="H35" i="52"/>
  <c r="G35" i="52"/>
  <c r="F35" i="52"/>
  <c r="E35" i="52"/>
  <c r="D35" i="52"/>
  <c r="C35" i="52"/>
  <c r="I35" i="51"/>
  <c r="H35" i="51"/>
  <c r="G35" i="51"/>
  <c r="F35" i="51"/>
  <c r="E35" i="51"/>
  <c r="D35" i="51"/>
  <c r="C35" i="51"/>
  <c r="I35" i="49"/>
  <c r="H35" i="49"/>
  <c r="G35" i="49"/>
  <c r="F35" i="49"/>
  <c r="E35" i="49"/>
  <c r="D35" i="49"/>
  <c r="C35" i="49"/>
  <c r="I35" i="48"/>
  <c r="H35" i="48"/>
  <c r="G35" i="48"/>
  <c r="F35" i="48"/>
  <c r="E35" i="48"/>
  <c r="D35" i="48"/>
  <c r="C35" i="48"/>
  <c r="I35" i="47"/>
  <c r="H35" i="47"/>
  <c r="G35" i="47"/>
  <c r="F35" i="47"/>
  <c r="E35" i="47"/>
  <c r="D35" i="47"/>
  <c r="C35" i="47"/>
  <c r="I35" i="46"/>
  <c r="H35" i="46"/>
  <c r="G35" i="46"/>
  <c r="F35" i="46"/>
  <c r="E35" i="46"/>
  <c r="D35" i="46"/>
  <c r="C35" i="46"/>
  <c r="I35" i="45"/>
  <c r="H35" i="45"/>
  <c r="G35" i="45"/>
  <c r="F35" i="45"/>
  <c r="E35" i="45"/>
  <c r="D35" i="45"/>
  <c r="C35" i="45"/>
  <c r="I35" i="44"/>
  <c r="H35" i="44"/>
  <c r="G35" i="44"/>
  <c r="F35" i="44"/>
  <c r="E35" i="44"/>
  <c r="D35" i="44"/>
  <c r="C35" i="44"/>
  <c r="I35" i="42"/>
  <c r="H35" i="42"/>
  <c r="G35" i="42"/>
  <c r="F35" i="42"/>
  <c r="E35" i="42"/>
  <c r="D35" i="42"/>
  <c r="C35" i="42"/>
  <c r="I35" i="40"/>
  <c r="H35" i="40"/>
  <c r="G35" i="40"/>
  <c r="F35" i="40"/>
  <c r="E35" i="40"/>
  <c r="D35" i="40"/>
  <c r="C35" i="40"/>
  <c r="I35" i="39"/>
  <c r="H35" i="39"/>
  <c r="G35" i="39"/>
  <c r="F35" i="39"/>
  <c r="E35" i="39"/>
  <c r="D35" i="39"/>
  <c r="C35" i="39"/>
  <c r="I35" i="38"/>
  <c r="H35" i="38"/>
  <c r="G35" i="38"/>
  <c r="F35" i="38"/>
  <c r="E35" i="38"/>
  <c r="D35" i="38"/>
  <c r="C35" i="38"/>
  <c r="I35" i="37" l="1"/>
  <c r="H35" i="37"/>
  <c r="G35" i="37"/>
  <c r="F35" i="37"/>
  <c r="E35" i="37"/>
  <c r="D35" i="37"/>
  <c r="AI22" i="4"/>
  <c r="C24" i="37" s="1"/>
  <c r="K24" i="37" s="1"/>
  <c r="AI28" i="4"/>
  <c r="C30" i="37" s="1"/>
  <c r="K30" i="37" s="1"/>
  <c r="AI29" i="4"/>
  <c r="C31" i="37" s="1"/>
  <c r="K31" i="37" s="1"/>
  <c r="AI30" i="4"/>
  <c r="C32" i="37" s="1"/>
  <c r="K32" i="37" s="1"/>
  <c r="AI31" i="4"/>
  <c r="C33" i="37" s="1"/>
  <c r="K33" i="37" s="1"/>
  <c r="D35" i="5"/>
  <c r="E35" i="5"/>
  <c r="F35" i="5"/>
  <c r="G35" i="5"/>
  <c r="H35" i="5"/>
  <c r="I35" i="5"/>
  <c r="C35" i="5"/>
  <c r="AI16" i="4" l="1"/>
  <c r="C18" i="37" s="1"/>
  <c r="K18" i="37" s="1"/>
  <c r="AI5" i="4"/>
  <c r="C7" i="37" s="1"/>
  <c r="K7" i="37" s="1"/>
  <c r="AI23" i="4"/>
  <c r="C25" i="37" s="1"/>
  <c r="K25" i="37" s="1"/>
  <c r="AI20" i="4"/>
  <c r="C22" i="37" s="1"/>
  <c r="K22" i="37" s="1"/>
  <c r="AI19" i="4"/>
  <c r="C21" i="37" s="1"/>
  <c r="K21" i="37" s="1"/>
  <c r="AI15" i="4"/>
  <c r="C17" i="37" s="1"/>
  <c r="K17" i="37" s="1"/>
  <c r="AI6" i="4"/>
  <c r="C8" i="37" s="1"/>
  <c r="K8" i="37" s="1"/>
  <c r="AI21" i="4"/>
  <c r="C23" i="37" s="1"/>
  <c r="K23" i="37" s="1"/>
  <c r="AI18" i="4"/>
  <c r="C20" i="37" s="1"/>
  <c r="K20" i="37" s="1"/>
  <c r="AI17" i="4"/>
  <c r="C19" i="37" s="1"/>
  <c r="K19" i="37" s="1"/>
  <c r="AI24" i="4"/>
  <c r="C26" i="37" s="1"/>
  <c r="K26" i="37" s="1"/>
  <c r="AI27" i="4"/>
  <c r="C29" i="37" s="1"/>
  <c r="K29" i="37" s="1"/>
  <c r="AI14" i="4"/>
  <c r="C16" i="37" s="1"/>
  <c r="K16" i="37" s="1"/>
  <c r="AI4" i="4"/>
  <c r="C6" i="37" s="1"/>
  <c r="K6" i="37" s="1"/>
  <c r="AI11" i="4"/>
  <c r="C13" i="37" s="1"/>
  <c r="K13" i="37" s="1"/>
  <c r="AI10" i="4"/>
  <c r="C12" i="37" s="1"/>
  <c r="K12" i="37" s="1"/>
  <c r="AI9" i="4"/>
  <c r="C11" i="37" s="1"/>
  <c r="K11" i="37" s="1"/>
  <c r="AI7" i="4"/>
  <c r="C9" i="37" s="1"/>
  <c r="K9" i="37" s="1"/>
  <c r="AI8" i="4"/>
  <c r="C10" i="37" s="1"/>
  <c r="K10" i="37" s="1"/>
  <c r="AI3" i="4"/>
  <c r="C5" i="37" s="1"/>
  <c r="K5" i="37" l="1"/>
  <c r="C35" i="37"/>
</calcChain>
</file>

<file path=xl/sharedStrings.xml><?xml version="1.0" encoding="utf-8"?>
<sst xmlns="http://schemas.openxmlformats.org/spreadsheetml/2006/main" count="1487" uniqueCount="47">
  <si>
    <t>DPR - RAPORT MUJOR - QERSHOR 2026</t>
  </si>
  <si>
    <t>NR</t>
  </si>
  <si>
    <t>KOMERCIAL</t>
  </si>
  <si>
    <t>Totali</t>
  </si>
  <si>
    <t xml:space="preserve">Kontrollimi periodik i GM </t>
  </si>
  <si>
    <t xml:space="preserve">Kontrollimi sipas DV i GM </t>
  </si>
  <si>
    <t xml:space="preserve">Ndërrimi i TMRR-ve </t>
  </si>
  <si>
    <t>Ndërrimi i njehsorit</t>
  </si>
  <si>
    <t>Montimet e GM me PEE</t>
  </si>
  <si>
    <t>Kontrollime me kërkesë të konsumatorit</t>
  </si>
  <si>
    <t>Rregullimi i lidhjes</t>
  </si>
  <si>
    <t>Rregullim i komunikimit</t>
  </si>
  <si>
    <t>Lexim</t>
  </si>
  <si>
    <t>TRAFOREGJIONE</t>
  </si>
  <si>
    <t>Kontrollimi i GM</t>
  </si>
  <si>
    <t xml:space="preserve">Nderrimi i TMRR-ve  </t>
  </si>
  <si>
    <t>Ndrrimet i njehsorit</t>
  </si>
  <si>
    <t xml:space="preserve">Montimet e GM </t>
  </si>
  <si>
    <t>Rregullim i fazimit, antenës, etj</t>
  </si>
  <si>
    <t>Mbesin njehsorë të dëmtuar</t>
  </si>
  <si>
    <t>Kontrollim sipas humbjeve</t>
  </si>
  <si>
    <t>Rregullim pas vendosjes së ormanit të ri</t>
  </si>
  <si>
    <t>Ndërrimet e TMRR pas ndërrimit të TR</t>
  </si>
  <si>
    <t>Koncentrator</t>
  </si>
  <si>
    <t>DIREKT</t>
  </si>
  <si>
    <t>Lidhje të reja</t>
  </si>
  <si>
    <t xml:space="preserve">Ndërrime </t>
  </si>
  <si>
    <t>PLC</t>
  </si>
  <si>
    <t>Kontrollim me ZERA</t>
  </si>
  <si>
    <t>Rregullim komunikimit dhe tjera</t>
  </si>
  <si>
    <t>DMI - RAPORT MUJOR - QERSHOR 2026</t>
  </si>
  <si>
    <t>DPE - RAPORT MUJOR - QERSHOR 2026</t>
  </si>
  <si>
    <t>DPZ - RAPORT MUJOR - QERSHOR 2026</t>
  </si>
  <si>
    <t>DFE - RAPORT MUJOR - QERSHOR 2026</t>
  </si>
  <si>
    <t>DGL - RAPORT MUJOR - QERSHOR 2026</t>
  </si>
  <si>
    <t>DGJ - RAPORT MUJOR - QERSHOR 2026</t>
  </si>
  <si>
    <t>DPR</t>
  </si>
  <si>
    <t>DMI</t>
  </si>
  <si>
    <t>DPE</t>
  </si>
  <si>
    <t>DPZ</t>
  </si>
  <si>
    <t>DFE</t>
  </si>
  <si>
    <t>DGL</t>
  </si>
  <si>
    <t>DGJ</t>
  </si>
  <si>
    <t>Numri i ekipeve</t>
  </si>
  <si>
    <t>Total raste:</t>
  </si>
  <si>
    <t>NUMRI I EKIPEVE</t>
  </si>
  <si>
    <t>Mesatarja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</si>
</sst>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34" borderId="11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0" borderId="16" xfId="0" applyBorder="1"/>
    <xf numFmtId="0" fontId="0" fillId="35" borderId="10" xfId="0" applyFill="1" applyBorder="1"/>
    <xf numFmtId="0" fontId="0" fillId="35" borderId="16" xfId="0" applyFill="1" applyBorder="1"/>
    <xf numFmtId="0" fontId="16" fillId="33" borderId="13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24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right"/>
    </xf>
    <xf numFmtId="0" fontId="19" fillId="36" borderId="27" xfId="0" applyFont="1" applyFill="1" applyBorder="1" applyAlignment="1">
      <alignment horizontal="center" vertical="center"/>
    </xf>
    <xf numFmtId="0" fontId="19" fillId="36" borderId="28" xfId="0" applyFont="1" applyFill="1" applyBorder="1" applyAlignment="1">
      <alignment horizontal="center" vertical="center"/>
    </xf>
    <xf numFmtId="0" fontId="19" fillId="36" borderId="2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22" fillId="34" borderId="24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20" fillId="34" borderId="24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9" fillId="38" borderId="24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wrapText="1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16" fillId="33" borderId="24" xfId="0" applyFont="1" applyFill="1" applyBorder="1"/>
    <xf numFmtId="0" fontId="0" fillId="0" borderId="35" xfId="0" applyBorder="1"/>
    <xf numFmtId="0" fontId="0" fillId="0" borderId="36" xfId="0" applyBorder="1"/>
    <xf numFmtId="0" fontId="0" fillId="33" borderId="24" xfId="0" applyFill="1" applyBorder="1"/>
    <xf numFmtId="0" fontId="19" fillId="38" borderId="26" xfId="0" applyFont="1" applyFill="1" applyBorder="1" applyAlignment="1">
      <alignment horizontal="center" vertical="center"/>
    </xf>
    <xf numFmtId="0" fontId="16" fillId="33" borderId="24" xfId="0" applyFont="1" applyFill="1" applyBorder="1" applyAlignment="1">
      <alignment horizontal="center"/>
    </xf>
    <xf numFmtId="0" fontId="0" fillId="0" borderId="38" xfId="0" applyBorder="1"/>
    <xf numFmtId="0" fontId="0" fillId="0" borderId="41" xfId="0" applyBorder="1"/>
    <xf numFmtId="0" fontId="22" fillId="38" borderId="24" xfId="0" applyFont="1" applyFill="1" applyBorder="1" applyAlignment="1">
      <alignment horizontal="center"/>
    </xf>
    <xf numFmtId="0" fontId="0" fillId="0" borderId="42" xfId="0" applyBorder="1"/>
    <xf numFmtId="0" fontId="25" fillId="36" borderId="37" xfId="0" applyFont="1" applyFill="1" applyBorder="1" applyAlignment="1">
      <alignment horizontal="center"/>
    </xf>
    <xf numFmtId="0" fontId="25" fillId="36" borderId="2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36" borderId="37" xfId="0" applyFont="1" applyFill="1" applyBorder="1" applyAlignment="1">
      <alignment horizontal="center"/>
    </xf>
    <xf numFmtId="0" fontId="26" fillId="36" borderId="24" xfId="0" applyFont="1" applyFill="1" applyBorder="1" applyAlignment="1">
      <alignment horizontal="center"/>
    </xf>
    <xf numFmtId="0" fontId="26" fillId="36" borderId="37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34" borderId="45" xfId="0" applyFill="1" applyBorder="1" applyAlignment="1">
      <alignment horizontal="center"/>
    </xf>
    <xf numFmtId="0" fontId="23" fillId="0" borderId="46" xfId="0" applyFont="1" applyBorder="1" applyAlignment="1">
      <alignment horizontal="center" vertical="center"/>
    </xf>
    <xf numFmtId="0" fontId="0" fillId="0" borderId="46" xfId="0" applyBorder="1"/>
    <xf numFmtId="0" fontId="0" fillId="35" borderId="46" xfId="0" applyFill="1" applyBorder="1"/>
    <xf numFmtId="0" fontId="20" fillId="34" borderId="17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0" fillId="0" borderId="47" xfId="0" applyBorder="1"/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16" fillId="0" borderId="28" xfId="0" applyFont="1" applyBorder="1" applyAlignment="1">
      <alignment horizontal="center" vertic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0" fillId="34" borderId="13" xfId="0" applyFont="1" applyFill="1" applyBorder="1" applyAlignment="1">
      <alignment horizontal="center" vertical="center" wrapText="1"/>
    </xf>
    <xf numFmtId="0" fontId="0" fillId="33" borderId="48" xfId="0" applyFill="1" applyBorder="1"/>
    <xf numFmtId="0" fontId="0" fillId="0" borderId="49" xfId="0" applyBorder="1"/>
    <xf numFmtId="0" fontId="16" fillId="33" borderId="48" xfId="0" applyFont="1" applyFill="1" applyBorder="1" applyAlignment="1">
      <alignment horizontal="center"/>
    </xf>
    <xf numFmtId="0" fontId="0" fillId="0" borderId="50" xfId="0" applyBorder="1"/>
    <xf numFmtId="0" fontId="16" fillId="33" borderId="51" xfId="0" applyFont="1" applyFill="1" applyBorder="1" applyAlignment="1">
      <alignment horizontal="center"/>
    </xf>
    <xf numFmtId="0" fontId="0" fillId="33" borderId="51" xfId="0" applyFill="1" applyBorder="1"/>
    <xf numFmtId="0" fontId="0" fillId="0" borderId="30" xfId="0" applyBorder="1"/>
    <xf numFmtId="0" fontId="0" fillId="0" borderId="52" xfId="0" applyBorder="1"/>
    <xf numFmtId="0" fontId="0" fillId="0" borderId="53" xfId="0" applyBorder="1"/>
    <xf numFmtId="0" fontId="16" fillId="33" borderId="28" xfId="0" applyFont="1" applyFill="1" applyBorder="1" applyAlignment="1">
      <alignment horizontal="center"/>
    </xf>
    <xf numFmtId="0" fontId="16" fillId="33" borderId="29" xfId="0" applyFont="1" applyFill="1" applyBorder="1" applyAlignment="1">
      <alignment horizontal="center"/>
    </xf>
    <xf numFmtId="0" fontId="0" fillId="0" borderId="11" xfId="0" applyBorder="1"/>
    <xf numFmtId="0" fontId="0" fillId="38" borderId="12" xfId="0" applyFill="1" applyBorder="1"/>
    <xf numFmtId="0" fontId="0" fillId="0" borderId="14" xfId="0" applyBorder="1"/>
    <xf numFmtId="0" fontId="0" fillId="38" borderId="10" xfId="0" applyFill="1" applyBorder="1"/>
    <xf numFmtId="0" fontId="0" fillId="0" borderId="15" xfId="0" applyBorder="1"/>
    <xf numFmtId="0" fontId="0" fillId="38" borderId="16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9" fillId="36" borderId="21" xfId="0" applyFont="1" applyFill="1" applyBorder="1" applyAlignment="1" applyProtection="1">
      <alignment horizontal="center" vertical="center"/>
      <protection locked="0"/>
    </xf>
    <xf numFmtId="0" fontId="19" fillId="36" borderId="22" xfId="0" applyFont="1" applyFill="1" applyBorder="1" applyAlignment="1" applyProtection="1">
      <alignment horizontal="center" vertical="center"/>
      <protection locked="0"/>
    </xf>
    <xf numFmtId="0" fontId="19" fillId="36" borderId="23" xfId="0" applyFont="1" applyFill="1" applyBorder="1" applyAlignment="1" applyProtection="1">
      <alignment horizontal="center" vertical="center"/>
      <protection locked="0"/>
    </xf>
    <xf numFmtId="0" fontId="22" fillId="38" borderId="24" xfId="0" applyFont="1" applyFill="1" applyBorder="1" applyAlignment="1" applyProtection="1">
      <alignment horizontal="center"/>
      <protection locked="0"/>
    </xf>
    <xf numFmtId="0" fontId="16" fillId="38" borderId="24" xfId="0" applyFont="1" applyFill="1" applyBorder="1" applyAlignment="1" applyProtection="1">
      <alignment horizontal="center" vertical="center"/>
      <protection locked="0"/>
    </xf>
    <xf numFmtId="0" fontId="16" fillId="38" borderId="26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22" fillId="34" borderId="25" xfId="0" applyFont="1" applyFill="1" applyBorder="1" applyAlignment="1" applyProtection="1">
      <alignment horizontal="center"/>
      <protection locked="0"/>
    </xf>
    <xf numFmtId="0" fontId="16" fillId="33" borderId="24" xfId="0" applyFont="1" applyFill="1" applyBorder="1" applyProtection="1">
      <protection locked="0"/>
    </xf>
    <xf numFmtId="0" fontId="16" fillId="33" borderId="24" xfId="0" applyFont="1" applyFill="1" applyBorder="1" applyAlignment="1" applyProtection="1">
      <alignment horizontal="center"/>
      <protection locked="0"/>
    </xf>
    <xf numFmtId="0" fontId="16" fillId="33" borderId="26" xfId="0" applyFont="1" applyFill="1" applyBorder="1" applyAlignment="1" applyProtection="1">
      <alignment horizontal="center"/>
      <protection locked="0"/>
    </xf>
    <xf numFmtId="0" fontId="0" fillId="34" borderId="20" xfId="0" applyFill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34" borderId="14" xfId="0" applyFill="1" applyBorder="1" applyAlignment="1" applyProtection="1">
      <alignment horizontal="center"/>
      <protection locked="0"/>
    </xf>
    <xf numFmtId="0" fontId="18" fillId="0" borderId="31" xfId="0" applyFont="1" applyBorder="1" applyAlignment="1" applyProtection="1">
      <alignment horizontal="center" vertical="center" wrapText="1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34" borderId="15" xfId="0" applyFill="1" applyBorder="1" applyAlignment="1" applyProtection="1">
      <alignment horizontal="center"/>
      <protection locked="0"/>
    </xf>
    <xf numFmtId="0" fontId="16" fillId="0" borderId="32" xfId="0" applyFont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41" xfId="0" applyBorder="1" applyProtection="1">
      <protection locked="0"/>
    </xf>
    <xf numFmtId="0" fontId="0" fillId="0" borderId="30" xfId="0" applyBorder="1" applyAlignment="1" applyProtection="1">
      <alignment horizontal="center"/>
      <protection locked="0"/>
    </xf>
    <xf numFmtId="0" fontId="20" fillId="34" borderId="25" xfId="0" applyFont="1" applyFill="1" applyBorder="1" applyAlignment="1" applyProtection="1">
      <alignment horizontal="center" vertical="center" wrapText="1"/>
      <protection locked="0"/>
    </xf>
    <xf numFmtId="0" fontId="0" fillId="33" borderId="24" xfId="0" applyFill="1" applyBorder="1" applyProtection="1">
      <protection locked="0"/>
    </xf>
    <xf numFmtId="0" fontId="0" fillId="33" borderId="26" xfId="0" applyFill="1" applyBorder="1" applyProtection="1">
      <protection locked="0"/>
    </xf>
    <xf numFmtId="0" fontId="24" fillId="0" borderId="31" xfId="0" applyFont="1" applyBorder="1" applyAlignment="1" applyProtection="1">
      <alignment horizontal="center" wrapText="1"/>
      <protection locked="0"/>
    </xf>
    <xf numFmtId="0" fontId="23" fillId="0" borderId="32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6" fillId="0" borderId="41" xfId="0" applyFont="1" applyBorder="1" applyAlignment="1" applyProtection="1">
      <alignment horizontal="center" vertical="center"/>
      <protection locked="0"/>
    </xf>
    <xf numFmtId="0" fontId="23" fillId="0" borderId="33" xfId="0" applyFont="1" applyBorder="1" applyAlignment="1" applyProtection="1">
      <alignment horizontal="center"/>
      <protection locked="0"/>
    </xf>
    <xf numFmtId="0" fontId="23" fillId="0" borderId="31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21" fillId="37" borderId="10" xfId="0" applyFont="1" applyFill="1" applyBorder="1" applyAlignment="1" applyProtection="1">
      <alignment horizontal="right"/>
      <protection locked="0"/>
    </xf>
    <xf numFmtId="0" fontId="21" fillId="37" borderId="10" xfId="0" applyFont="1" applyFill="1" applyBorder="1" applyProtection="1">
      <protection locked="0"/>
    </xf>
    <xf numFmtId="0" fontId="0" fillId="0" borderId="34" xfId="0" applyBorder="1" applyProtection="1">
      <protection locked="0"/>
    </xf>
    <xf numFmtId="0" fontId="0" fillId="0" borderId="38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33" borderId="24" xfId="0" applyFill="1" applyBorder="1" applyAlignment="1" applyProtection="1">
      <alignment horizontal="center"/>
      <protection locked="0"/>
    </xf>
    <xf numFmtId="0" fontId="0" fillId="33" borderId="26" xfId="0" applyFill="1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3" borderId="24" xfId="0" applyFill="1" applyBorder="1" applyAlignment="1" applyProtection="1">
      <alignment horizontal="center" vertical="center"/>
      <protection locked="0"/>
    </xf>
    <xf numFmtId="0" fontId="0" fillId="33" borderId="26" xfId="0" applyFill="1" applyBorder="1" applyAlignment="1" applyProtection="1">
      <alignment horizontal="center" vertical="center"/>
      <protection locked="0"/>
    </xf>
    <xf numFmtId="0" fontId="19" fillId="36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/>
    <xf numFmtId="0" fontId="0" fillId="0" borderId="4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19" fillId="36" borderId="24" xfId="0" applyFont="1" applyFill="1" applyBorder="1" applyAlignment="1" applyProtection="1">
      <alignment horizontal="center" vertical="center"/>
    </xf>
    <xf numFmtId="0" fontId="16" fillId="0" borderId="24" xfId="0" applyFont="1" applyBorder="1" applyAlignment="1" applyProtection="1">
      <alignment horizontal="center"/>
    </xf>
    <xf numFmtId="0" fontId="16" fillId="0" borderId="26" xfId="0" applyFont="1" applyBorder="1" applyAlignment="1" applyProtection="1">
      <alignment horizontal="center"/>
    </xf>
    <xf numFmtId="16" fontId="0" fillId="0" borderId="42" xfId="0" applyNumberFormat="1" applyBorder="1"/>
    <xf numFmtId="16" fontId="0" fillId="0" borderId="35" xfId="0" applyNumberFormat="1" applyBorder="1"/>
    <xf numFmtId="16" fontId="0" fillId="38" borderId="35" xfId="0" applyNumberFormat="1" applyFill="1" applyBorder="1"/>
    <xf numFmtId="16" fontId="0" fillId="0" borderId="36" xfId="0" applyNumberFormat="1" applyBorder="1"/>
    <xf numFmtId="0" fontId="19" fillId="0" borderId="0" xfId="0" applyFont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E0A-F9D2-4443-9643-D9DA42EC06C0}">
  <sheetPr codeName="Sheet1"/>
  <dimension ref="A1:AI31"/>
  <sheetViews>
    <sheetView workbookViewId="0">
      <selection activeCell="C2" sqref="C2:AG2"/>
    </sheetView>
  </sheetViews>
  <sheetFormatPr defaultRowHeight="15" x14ac:dyDescent="0.25"/>
  <cols>
    <col min="1" max="1" width="6.5703125" customWidth="1"/>
    <col min="2" max="2" width="41.5703125" customWidth="1"/>
    <col min="3" max="33" width="5.7109375" customWidth="1"/>
    <col min="34" max="34" width="5.5703125" customWidth="1"/>
    <col min="35" max="35" width="10" style="14" customWidth="1"/>
  </cols>
  <sheetData>
    <row r="1" spans="1:35" ht="19.5" thickBot="1" x14ac:dyDescent="0.35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'01.07.2026'!C5</f>
        <v>0</v>
      </c>
      <c r="D3" s="2">
        <f>'02.07.2026'!C5</f>
        <v>0</v>
      </c>
      <c r="E3" s="2">
        <f>'03.07.2026'!C5</f>
        <v>4</v>
      </c>
      <c r="F3" s="6">
        <f>'04.07.2026'!C5</f>
        <v>0</v>
      </c>
      <c r="G3" s="6"/>
      <c r="H3" s="2">
        <f>'06.07.2026'!C5</f>
        <v>6</v>
      </c>
      <c r="I3" s="2">
        <f>'07.07.2026'!C5</f>
        <v>16</v>
      </c>
      <c r="J3" s="2">
        <f>'08.07.2026'!C5</f>
        <v>13</v>
      </c>
      <c r="K3" s="2">
        <f>'09.07.2026'!C5</f>
        <v>9</v>
      </c>
      <c r="L3" s="2">
        <f>'10.07.2026'!C5</f>
        <v>16</v>
      </c>
      <c r="M3" s="6">
        <f>'11.07.2026'!C5</f>
        <v>0</v>
      </c>
      <c r="N3" s="6"/>
      <c r="O3" s="2">
        <f>'13.07.2026'!C5</f>
        <v>15</v>
      </c>
      <c r="P3" s="2">
        <f>'14.07.2026'!C5</f>
        <v>14</v>
      </c>
      <c r="Q3" s="2">
        <f>'15.07.2026'!C5</f>
        <v>11</v>
      </c>
      <c r="R3" s="2">
        <f>'16.07.2026'!C5</f>
        <v>16</v>
      </c>
      <c r="S3" s="2">
        <f>'17.07.2026'!C5</f>
        <v>11</v>
      </c>
      <c r="T3" s="6">
        <f>'18.07.2026'!C5</f>
        <v>0</v>
      </c>
      <c r="U3" s="6"/>
      <c r="V3" s="2">
        <f>'20.07.2026'!C5</f>
        <v>14</v>
      </c>
      <c r="W3" s="2">
        <f>'21.07.2026'!C5</f>
        <v>11</v>
      </c>
      <c r="X3" s="2">
        <f>'22.07.2026'!C5</f>
        <v>4</v>
      </c>
      <c r="Y3" s="2">
        <f>'23.07.2026'!C5</f>
        <v>13</v>
      </c>
      <c r="Z3" s="2">
        <f>'24.07.2026'!C5</f>
        <v>6</v>
      </c>
      <c r="AA3" s="6">
        <f>'25.07.2026'!C5</f>
        <v>0</v>
      </c>
      <c r="AB3" s="6"/>
      <c r="AC3" s="2">
        <f>'27.07.2026'!C5</f>
        <v>13</v>
      </c>
      <c r="AD3" s="2">
        <f>'28.07.2026'!C5</f>
        <v>4</v>
      </c>
      <c r="AE3" s="2">
        <f>'29.07.2026'!C5</f>
        <v>6</v>
      </c>
      <c r="AF3" s="2">
        <f>'30.07.2026'!C5</f>
        <v>4</v>
      </c>
      <c r="AG3" s="58">
        <f>'31.07.2026'!C5</f>
        <v>6</v>
      </c>
      <c r="AI3" s="22">
        <f t="shared" ref="AI3:AI11" si="0">SUM(C3:AF3)</f>
        <v>206</v>
      </c>
    </row>
    <row r="4" spans="1:35" ht="17.25" customHeight="1" x14ac:dyDescent="0.25">
      <c r="A4" s="4">
        <v>2</v>
      </c>
      <c r="B4" s="1" t="s">
        <v>5</v>
      </c>
      <c r="C4" s="2">
        <f>'01.07.2026'!C6</f>
        <v>0</v>
      </c>
      <c r="D4" s="2">
        <f>'02.07.2026'!C6</f>
        <v>0</v>
      </c>
      <c r="E4" s="2">
        <f>'03.07.2026'!C6</f>
        <v>0</v>
      </c>
      <c r="F4" s="6">
        <f>'04.07.2026'!C6</f>
        <v>0</v>
      </c>
      <c r="G4" s="6"/>
      <c r="H4" s="2">
        <f>'06.07.2026'!C6</f>
        <v>0</v>
      </c>
      <c r="I4" s="2">
        <f>'07.07.2026'!C6</f>
        <v>0</v>
      </c>
      <c r="J4" s="2">
        <f>'08.07.2026'!C6</f>
        <v>0</v>
      </c>
      <c r="K4" s="2">
        <f>'09.07.2026'!C6</f>
        <v>0</v>
      </c>
      <c r="L4" s="2">
        <f>'10.07.2026'!C6</f>
        <v>0</v>
      </c>
      <c r="M4" s="6">
        <f>'11.07.2026'!C6</f>
        <v>0</v>
      </c>
      <c r="N4" s="6"/>
      <c r="O4" s="2">
        <f>'13.07.2026'!C6</f>
        <v>0</v>
      </c>
      <c r="P4" s="2">
        <f>'14.07.2026'!C6</f>
        <v>0</v>
      </c>
      <c r="Q4" s="2">
        <f>'15.07.2026'!C6</f>
        <v>0</v>
      </c>
      <c r="R4" s="2">
        <f>'16.07.2026'!C6</f>
        <v>0</v>
      </c>
      <c r="S4" s="2">
        <f>'17.07.2026'!C6</f>
        <v>0</v>
      </c>
      <c r="T4" s="6">
        <f>'18.07.2026'!C6</f>
        <v>0</v>
      </c>
      <c r="U4" s="6"/>
      <c r="V4" s="2">
        <f>'20.07.2026'!C6</f>
        <v>0</v>
      </c>
      <c r="W4" s="2">
        <f>'21.07.2026'!C6</f>
        <v>0</v>
      </c>
      <c r="X4" s="2">
        <f>'22.07.2026'!C6</f>
        <v>0</v>
      </c>
      <c r="Y4" s="2">
        <f>'23.07.2026'!C6</f>
        <v>0</v>
      </c>
      <c r="Z4" s="2">
        <f>'24.07.2026'!C6</f>
        <v>0</v>
      </c>
      <c r="AA4" s="6">
        <f>'25.07.2026'!C6</f>
        <v>0</v>
      </c>
      <c r="AB4" s="6"/>
      <c r="AC4" s="2">
        <f>'27.07.2026'!C6</f>
        <v>0</v>
      </c>
      <c r="AD4" s="2">
        <f>'28.07.2026'!C6</f>
        <v>0</v>
      </c>
      <c r="AE4" s="2">
        <f>'29.07.2026'!C6</f>
        <v>0</v>
      </c>
      <c r="AF4" s="2">
        <f>'30.07.2026'!C6</f>
        <v>0</v>
      </c>
      <c r="AG4" s="58">
        <f>'31.07.2026'!C6</f>
        <v>0</v>
      </c>
      <c r="AI4" s="22">
        <f t="shared" si="0"/>
        <v>0</v>
      </c>
    </row>
    <row r="5" spans="1:35" ht="17.25" customHeight="1" x14ac:dyDescent="0.25">
      <c r="A5" s="4">
        <v>3</v>
      </c>
      <c r="B5" s="1" t="s">
        <v>6</v>
      </c>
      <c r="C5" s="2">
        <f>'01.07.2026'!C7</f>
        <v>0</v>
      </c>
      <c r="D5" s="2">
        <f>'02.07.2026'!C7</f>
        <v>0</v>
      </c>
      <c r="E5" s="2">
        <f>'03.07.2026'!C7</f>
        <v>0</v>
      </c>
      <c r="F5" s="6">
        <f>'04.07.2026'!C7</f>
        <v>0</v>
      </c>
      <c r="G5" s="6"/>
      <c r="H5" s="2">
        <f>'06.07.2026'!C7</f>
        <v>0</v>
      </c>
      <c r="I5" s="2">
        <f>'07.07.2026'!C7</f>
        <v>0</v>
      </c>
      <c r="J5" s="2">
        <f>'08.07.2026'!C7</f>
        <v>0</v>
      </c>
      <c r="K5" s="2">
        <f>'09.07.2026'!C7</f>
        <v>2</v>
      </c>
      <c r="L5" s="2">
        <f>'10.07.2026'!C7</f>
        <v>0</v>
      </c>
      <c r="M5" s="6">
        <f>'11.07.2026'!C7</f>
        <v>0</v>
      </c>
      <c r="N5" s="6"/>
      <c r="O5" s="2">
        <f>'13.07.2026'!C7</f>
        <v>0</v>
      </c>
      <c r="P5" s="2">
        <f>'14.07.2026'!C7</f>
        <v>0</v>
      </c>
      <c r="Q5" s="2">
        <f>'15.07.2026'!C7</f>
        <v>0</v>
      </c>
      <c r="R5" s="2">
        <f>'16.07.2026'!C7</f>
        <v>0</v>
      </c>
      <c r="S5" s="2">
        <f>'17.07.2026'!C7</f>
        <v>0</v>
      </c>
      <c r="T5" s="6">
        <f>'18.07.2026'!C7</f>
        <v>0</v>
      </c>
      <c r="U5" s="6"/>
      <c r="V5" s="2">
        <f>'20.07.2026'!C7</f>
        <v>0</v>
      </c>
      <c r="W5" s="2">
        <f>'21.07.2026'!C7</f>
        <v>1</v>
      </c>
      <c r="X5" s="2">
        <f>'22.07.2026'!C7</f>
        <v>1</v>
      </c>
      <c r="Y5" s="2">
        <f>'23.07.2026'!C7</f>
        <v>0</v>
      </c>
      <c r="Z5" s="2">
        <f>'24.07.2026'!C7</f>
        <v>0</v>
      </c>
      <c r="AA5" s="6">
        <f>'25.07.2026'!C7</f>
        <v>0</v>
      </c>
      <c r="AB5" s="6"/>
      <c r="AC5" s="2">
        <f>'27.07.2026'!C7</f>
        <v>0</v>
      </c>
      <c r="AD5" s="2">
        <f>'28.07.2026'!C7</f>
        <v>0</v>
      </c>
      <c r="AE5" s="2">
        <f>'29.07.2026'!C7</f>
        <v>0</v>
      </c>
      <c r="AF5" s="2">
        <f>'30.07.2026'!C7</f>
        <v>0</v>
      </c>
      <c r="AG5" s="58">
        <f>'31.07.2026'!C7</f>
        <v>0</v>
      </c>
      <c r="AI5" s="22">
        <f t="shared" si="0"/>
        <v>4</v>
      </c>
    </row>
    <row r="6" spans="1:35" ht="17.25" customHeight="1" x14ac:dyDescent="0.25">
      <c r="A6" s="4">
        <v>4</v>
      </c>
      <c r="B6" s="1" t="s">
        <v>7</v>
      </c>
      <c r="C6" s="2">
        <f>'01.07.2026'!C8</f>
        <v>0</v>
      </c>
      <c r="D6" s="2">
        <f>'02.07.2026'!C8</f>
        <v>0</v>
      </c>
      <c r="E6" s="2">
        <f>'03.07.2026'!C8</f>
        <v>0</v>
      </c>
      <c r="F6" s="6">
        <f>'04.07.2026'!C8</f>
        <v>4</v>
      </c>
      <c r="G6" s="6"/>
      <c r="H6" s="2">
        <f>'06.07.2026'!C8</f>
        <v>1</v>
      </c>
      <c r="I6" s="2">
        <f>'07.07.2026'!C8</f>
        <v>1</v>
      </c>
      <c r="J6" s="2">
        <f>'08.07.2026'!C8</f>
        <v>0</v>
      </c>
      <c r="K6" s="2">
        <f>'09.07.2026'!C8</f>
        <v>0</v>
      </c>
      <c r="L6" s="2">
        <f>'10.07.2026'!C8</f>
        <v>0</v>
      </c>
      <c r="M6" s="6">
        <f>'11.07.2026'!C8</f>
        <v>0</v>
      </c>
      <c r="N6" s="6"/>
      <c r="O6" s="2">
        <f>'13.07.2026'!C8</f>
        <v>0</v>
      </c>
      <c r="P6" s="2">
        <f>'14.07.2026'!C8</f>
        <v>0</v>
      </c>
      <c r="Q6" s="2">
        <f>'15.07.2026'!C8</f>
        <v>0</v>
      </c>
      <c r="R6" s="2">
        <f>'16.07.2026'!C8</f>
        <v>0</v>
      </c>
      <c r="S6" s="2">
        <f>'17.07.2026'!C8</f>
        <v>0</v>
      </c>
      <c r="T6" s="6">
        <f>'18.07.2026'!C8</f>
        <v>0</v>
      </c>
      <c r="U6" s="6"/>
      <c r="V6" s="2">
        <f>'20.07.2026'!C8</f>
        <v>0</v>
      </c>
      <c r="W6" s="2">
        <f>'21.07.2026'!C8</f>
        <v>0</v>
      </c>
      <c r="X6" s="2">
        <f>'22.07.2026'!C8</f>
        <v>0</v>
      </c>
      <c r="Y6" s="2">
        <f>'23.07.2026'!C8</f>
        <v>0</v>
      </c>
      <c r="Z6" s="2">
        <f>'24.07.2026'!C8</f>
        <v>0</v>
      </c>
      <c r="AA6" s="6">
        <f>'25.07.2026'!C8</f>
        <v>0</v>
      </c>
      <c r="AB6" s="6"/>
      <c r="AC6" s="2">
        <f>'27.07.2026'!C8</f>
        <v>0</v>
      </c>
      <c r="AD6" s="2">
        <f>'28.07.2026'!C8</f>
        <v>0</v>
      </c>
      <c r="AE6" s="2">
        <f>'29.07.2026'!C8</f>
        <v>0</v>
      </c>
      <c r="AF6" s="2">
        <f>'30.07.2026'!C8</f>
        <v>0</v>
      </c>
      <c r="AG6" s="58">
        <f>'31.07.2026'!C8</f>
        <v>0</v>
      </c>
      <c r="AI6" s="22">
        <f t="shared" si="0"/>
        <v>6</v>
      </c>
    </row>
    <row r="7" spans="1:35" ht="17.25" customHeight="1" x14ac:dyDescent="0.25">
      <c r="A7" s="4">
        <v>5</v>
      </c>
      <c r="B7" s="1" t="s">
        <v>8</v>
      </c>
      <c r="C7" s="2">
        <f>'01.07.2026'!C9</f>
        <v>0</v>
      </c>
      <c r="D7" s="2">
        <f>'02.07.2026'!C9</f>
        <v>1</v>
      </c>
      <c r="E7" s="2">
        <f>'03.07.2026'!C9</f>
        <v>6</v>
      </c>
      <c r="F7" s="6">
        <f>'04.07.2026'!C9</f>
        <v>1</v>
      </c>
      <c r="G7" s="6"/>
      <c r="H7" s="2">
        <f>'06.07.2026'!C9</f>
        <v>0</v>
      </c>
      <c r="I7" s="2">
        <f>'07.07.2026'!C9</f>
        <v>0</v>
      </c>
      <c r="J7" s="2">
        <f>'08.07.2026'!C9</f>
        <v>0</v>
      </c>
      <c r="K7" s="2">
        <f>'09.07.2026'!C9</f>
        <v>0</v>
      </c>
      <c r="L7" s="2">
        <f>'10.07.2026'!C9</f>
        <v>0</v>
      </c>
      <c r="M7" s="6">
        <f>'11.07.2026'!C9</f>
        <v>0</v>
      </c>
      <c r="N7" s="6"/>
      <c r="O7" s="2">
        <f>'13.07.2026'!C9</f>
        <v>0</v>
      </c>
      <c r="P7" s="2">
        <f>'14.07.2026'!C9</f>
        <v>0</v>
      </c>
      <c r="Q7" s="2">
        <f>'15.07.2026'!C9</f>
        <v>1</v>
      </c>
      <c r="R7" s="2">
        <f>'16.07.2026'!C9</f>
        <v>0</v>
      </c>
      <c r="S7" s="2">
        <f>'17.07.2026'!C9</f>
        <v>1</v>
      </c>
      <c r="T7" s="6">
        <f>'18.07.2026'!C9</f>
        <v>0</v>
      </c>
      <c r="U7" s="6"/>
      <c r="V7" s="2">
        <f>'20.07.2026'!C9</f>
        <v>0</v>
      </c>
      <c r="W7" s="2">
        <f>'21.07.2026'!C9</f>
        <v>0</v>
      </c>
      <c r="X7" s="2">
        <f>'22.07.2026'!C9</f>
        <v>1</v>
      </c>
      <c r="Y7" s="2">
        <f>'23.07.2026'!C9</f>
        <v>0</v>
      </c>
      <c r="Z7" s="2">
        <f>'24.07.2026'!C9</f>
        <v>0</v>
      </c>
      <c r="AA7" s="6">
        <f>'25.07.2026'!C9</f>
        <v>0</v>
      </c>
      <c r="AB7" s="6"/>
      <c r="AC7" s="2">
        <f>'27.07.2026'!C9</f>
        <v>0</v>
      </c>
      <c r="AD7" s="2">
        <f>'28.07.2026'!C9</f>
        <v>1</v>
      </c>
      <c r="AE7" s="2">
        <f>'29.07.2026'!C9</f>
        <v>0</v>
      </c>
      <c r="AF7" s="2">
        <f>'30.07.2026'!C9</f>
        <v>0</v>
      </c>
      <c r="AG7" s="58">
        <f>'31.07.2026'!C9</f>
        <v>0</v>
      </c>
      <c r="AI7" s="22">
        <f t="shared" si="0"/>
        <v>12</v>
      </c>
    </row>
    <row r="8" spans="1:35" ht="17.25" customHeight="1" x14ac:dyDescent="0.25">
      <c r="A8" s="4">
        <v>6</v>
      </c>
      <c r="B8" s="1" t="s">
        <v>9</v>
      </c>
      <c r="C8" s="2">
        <f>'01.07.2026'!C10</f>
        <v>0</v>
      </c>
      <c r="D8" s="2">
        <f>'02.07.2026'!C10</f>
        <v>0</v>
      </c>
      <c r="E8" s="2">
        <f>'03.07.2026'!C10</f>
        <v>0</v>
      </c>
      <c r="F8" s="6">
        <f>'04.07.2026'!C10</f>
        <v>0</v>
      </c>
      <c r="G8" s="6"/>
      <c r="H8" s="2">
        <f>'06.07.2026'!C10</f>
        <v>0</v>
      </c>
      <c r="I8" s="2">
        <f>'07.07.2026'!C10</f>
        <v>0</v>
      </c>
      <c r="J8" s="2">
        <f>'08.07.2026'!C10</f>
        <v>0</v>
      </c>
      <c r="K8" s="2">
        <f>'09.07.2026'!C10</f>
        <v>0</v>
      </c>
      <c r="L8" s="2">
        <f>'10.07.2026'!C10</f>
        <v>0</v>
      </c>
      <c r="M8" s="6">
        <f>'11.07.2026'!C10</f>
        <v>0</v>
      </c>
      <c r="N8" s="6"/>
      <c r="O8" s="2">
        <f>'13.07.2026'!C10</f>
        <v>0</v>
      </c>
      <c r="P8" s="2">
        <f>'14.07.2026'!C10</f>
        <v>0</v>
      </c>
      <c r="Q8" s="2">
        <f>'15.07.2026'!C10</f>
        <v>0</v>
      </c>
      <c r="R8" s="2">
        <f>'16.07.2026'!C10</f>
        <v>0</v>
      </c>
      <c r="S8" s="2">
        <f>'17.07.2026'!C10</f>
        <v>0</v>
      </c>
      <c r="T8" s="6">
        <f>'18.07.2026'!C10</f>
        <v>0</v>
      </c>
      <c r="U8" s="6"/>
      <c r="V8" s="2">
        <f>'20.07.2026'!C10</f>
        <v>0</v>
      </c>
      <c r="W8" s="2">
        <f>'21.07.2026'!C10</f>
        <v>0</v>
      </c>
      <c r="X8" s="2">
        <f>'22.07.2026'!C10</f>
        <v>0</v>
      </c>
      <c r="Y8" s="2">
        <f>'23.07.2026'!C10</f>
        <v>0</v>
      </c>
      <c r="Z8" s="2">
        <f>'24.07.2026'!C10</f>
        <v>0</v>
      </c>
      <c r="AA8" s="6">
        <f>'25.07.2026'!C10</f>
        <v>0</v>
      </c>
      <c r="AB8" s="6"/>
      <c r="AC8" s="2">
        <f>'27.07.2026'!C10</f>
        <v>0</v>
      </c>
      <c r="AD8" s="2">
        <f>'28.07.2026'!C10</f>
        <v>0</v>
      </c>
      <c r="AE8" s="2">
        <f>'29.07.2026'!C10</f>
        <v>0</v>
      </c>
      <c r="AF8" s="2">
        <f>'30.07.2026'!C10</f>
        <v>0</v>
      </c>
      <c r="AG8" s="58">
        <f>'31.07.2026'!C10</f>
        <v>0</v>
      </c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'01.07.2026'!C11</f>
        <v>0</v>
      </c>
      <c r="D9" s="2">
        <f>'02.07.2026'!C11</f>
        <v>0</v>
      </c>
      <c r="E9" s="2">
        <f>'03.07.2026'!C11</f>
        <v>0</v>
      </c>
      <c r="F9" s="6">
        <f>'04.07.2026'!C11</f>
        <v>0</v>
      </c>
      <c r="G9" s="6"/>
      <c r="H9" s="2">
        <f>'06.07.2026'!C11</f>
        <v>0</v>
      </c>
      <c r="I9" s="2">
        <f>'07.07.2026'!C11</f>
        <v>0</v>
      </c>
      <c r="J9" s="2">
        <f>'08.07.2026'!C11</f>
        <v>0</v>
      </c>
      <c r="K9" s="2">
        <f>'09.07.2026'!C11</f>
        <v>0</v>
      </c>
      <c r="L9" s="2">
        <f>'10.07.2026'!C11</f>
        <v>0</v>
      </c>
      <c r="M9" s="6">
        <f>'11.07.2026'!C11</f>
        <v>0</v>
      </c>
      <c r="N9" s="6"/>
      <c r="O9" s="2">
        <f>'13.07.2026'!C11</f>
        <v>0</v>
      </c>
      <c r="P9" s="2">
        <f>'14.07.2026'!C11</f>
        <v>0</v>
      </c>
      <c r="Q9" s="2">
        <f>'15.07.2026'!C11</f>
        <v>0</v>
      </c>
      <c r="R9" s="2">
        <f>'16.07.2026'!C11</f>
        <v>2</v>
      </c>
      <c r="S9" s="2">
        <f>'17.07.2026'!C11</f>
        <v>0</v>
      </c>
      <c r="T9" s="6">
        <f>'18.07.2026'!C11</f>
        <v>0</v>
      </c>
      <c r="U9" s="6"/>
      <c r="V9" s="2">
        <f>'20.07.2026'!C11</f>
        <v>0</v>
      </c>
      <c r="W9" s="2">
        <f>'21.07.2026'!C11</f>
        <v>0</v>
      </c>
      <c r="X9" s="2">
        <f>'22.07.2026'!C11</f>
        <v>0</v>
      </c>
      <c r="Y9" s="2">
        <f>'23.07.2026'!C11</f>
        <v>0</v>
      </c>
      <c r="Z9" s="2">
        <f>'24.07.2026'!C11</f>
        <v>0</v>
      </c>
      <c r="AA9" s="6">
        <f>'25.07.2026'!C11</f>
        <v>0</v>
      </c>
      <c r="AB9" s="6"/>
      <c r="AC9" s="2">
        <f>'27.07.2026'!C11</f>
        <v>0</v>
      </c>
      <c r="AD9" s="2">
        <f>'28.07.2026'!C11</f>
        <v>0</v>
      </c>
      <c r="AE9" s="2">
        <f>'29.07.2026'!C11</f>
        <v>0</v>
      </c>
      <c r="AF9" s="2">
        <f>'30.07.2026'!C11</f>
        <v>0</v>
      </c>
      <c r="AG9" s="58">
        <f>'31.07.2026'!C11</f>
        <v>0</v>
      </c>
      <c r="AI9" s="22">
        <f t="shared" si="0"/>
        <v>2</v>
      </c>
    </row>
    <row r="10" spans="1:35" ht="17.25" customHeight="1" x14ac:dyDescent="0.25">
      <c r="A10" s="4">
        <v>8</v>
      </c>
      <c r="B10" s="1" t="s">
        <v>11</v>
      </c>
      <c r="C10" s="2">
        <f>'01.07.2026'!C12</f>
        <v>7</v>
      </c>
      <c r="D10" s="2">
        <f>'02.07.2026'!C12</f>
        <v>3</v>
      </c>
      <c r="E10" s="2">
        <f>'03.07.2026'!C12</f>
        <v>0</v>
      </c>
      <c r="F10" s="6">
        <f>'04.07.2026'!C12</f>
        <v>0</v>
      </c>
      <c r="G10" s="6"/>
      <c r="H10" s="2">
        <f>'06.07.2026'!C12</f>
        <v>0</v>
      </c>
      <c r="I10" s="2">
        <f>'07.07.2026'!C12</f>
        <v>0</v>
      </c>
      <c r="J10" s="2">
        <f>'08.07.2026'!C12</f>
        <v>0</v>
      </c>
      <c r="K10" s="2">
        <f>'09.07.2026'!C12</f>
        <v>0</v>
      </c>
      <c r="L10" s="2">
        <f>'10.07.2026'!C12</f>
        <v>0</v>
      </c>
      <c r="M10" s="6">
        <f>'11.07.2026'!C12</f>
        <v>0</v>
      </c>
      <c r="N10" s="6"/>
      <c r="O10" s="2">
        <f>'13.07.2026'!C12</f>
        <v>0</v>
      </c>
      <c r="P10" s="2">
        <f>'14.07.2026'!C12</f>
        <v>0</v>
      </c>
      <c r="Q10" s="2">
        <f>'15.07.2026'!C12</f>
        <v>0</v>
      </c>
      <c r="R10" s="2">
        <f>'16.07.2026'!C12</f>
        <v>0</v>
      </c>
      <c r="S10" s="2">
        <f>'17.07.2026'!C12</f>
        <v>0</v>
      </c>
      <c r="T10" s="6">
        <f>'18.07.2026'!C12</f>
        <v>0</v>
      </c>
      <c r="U10" s="6"/>
      <c r="V10" s="2">
        <f>'20.07.2026'!C12</f>
        <v>0</v>
      </c>
      <c r="W10" s="2">
        <f>'21.07.2026'!C12</f>
        <v>0</v>
      </c>
      <c r="X10" s="2">
        <f>'22.07.2026'!C12</f>
        <v>0</v>
      </c>
      <c r="Y10" s="2">
        <f>'23.07.2026'!C12</f>
        <v>0</v>
      </c>
      <c r="Z10" s="2">
        <f>'24.07.2026'!C12</f>
        <v>0</v>
      </c>
      <c r="AA10" s="6">
        <f>'25.07.2026'!C12</f>
        <v>0</v>
      </c>
      <c r="AB10" s="6"/>
      <c r="AC10" s="2">
        <f>'27.07.2026'!C12</f>
        <v>0</v>
      </c>
      <c r="AD10" s="2">
        <f>'28.07.2026'!C12</f>
        <v>0</v>
      </c>
      <c r="AE10" s="2">
        <f>'29.07.2026'!C12</f>
        <v>0</v>
      </c>
      <c r="AF10" s="2">
        <f>'30.07.2026'!C12</f>
        <v>0</v>
      </c>
      <c r="AG10" s="58">
        <f>'31.07.2026'!C12</f>
        <v>0</v>
      </c>
      <c r="AI10" s="22">
        <f t="shared" si="0"/>
        <v>10</v>
      </c>
    </row>
    <row r="11" spans="1:35" ht="17.25" customHeight="1" thickBot="1" x14ac:dyDescent="0.3">
      <c r="A11" s="60">
        <v>9</v>
      </c>
      <c r="B11" s="66" t="s">
        <v>12</v>
      </c>
      <c r="C11" s="62">
        <f>'01.07.2026'!C13</f>
        <v>33</v>
      </c>
      <c r="D11" s="62">
        <f>'02.07.2026'!C13</f>
        <v>3</v>
      </c>
      <c r="E11" s="62">
        <f>'03.07.2026'!C13</f>
        <v>0</v>
      </c>
      <c r="F11" s="63">
        <f>'04.07.2026'!C13</f>
        <v>0</v>
      </c>
      <c r="G11" s="63"/>
      <c r="H11" s="62">
        <f>'06.07.2026'!C13</f>
        <v>1</v>
      </c>
      <c r="I11" s="62">
        <f>'07.07.2026'!C13</f>
        <v>0</v>
      </c>
      <c r="J11" s="62">
        <f>'08.07.2026'!C13</f>
        <v>0</v>
      </c>
      <c r="K11" s="62">
        <f>'09.07.2026'!C13</f>
        <v>0</v>
      </c>
      <c r="L11" s="62">
        <f>'10.07.2026'!C13</f>
        <v>0</v>
      </c>
      <c r="M11" s="63">
        <f>'11.07.2026'!C13</f>
        <v>0</v>
      </c>
      <c r="N11" s="63"/>
      <c r="O11" s="62">
        <f>'13.07.2026'!C13</f>
        <v>0</v>
      </c>
      <c r="P11" s="62">
        <f>'14.07.2026'!C13</f>
        <v>0</v>
      </c>
      <c r="Q11" s="62">
        <f>'15.07.2026'!C13</f>
        <v>0</v>
      </c>
      <c r="R11" s="62">
        <f>'16.07.2026'!C13</f>
        <v>0</v>
      </c>
      <c r="S11" s="62">
        <f>'17.07.2026'!C13</f>
        <v>0</v>
      </c>
      <c r="T11" s="63">
        <f>'18.07.2026'!C13</f>
        <v>0</v>
      </c>
      <c r="U11" s="63"/>
      <c r="V11" s="62">
        <f>'20.07.2026'!C13</f>
        <v>0</v>
      </c>
      <c r="W11" s="62">
        <f>'21.07.2026'!C13</f>
        <v>0</v>
      </c>
      <c r="X11" s="62">
        <f>'22.07.2026'!C13</f>
        <v>0</v>
      </c>
      <c r="Y11" s="62">
        <f>'23.07.2026'!C13</f>
        <v>0</v>
      </c>
      <c r="Z11" s="62">
        <f>'24.07.2026'!C13</f>
        <v>0</v>
      </c>
      <c r="AA11" s="63">
        <f>'25.07.2026'!C13</f>
        <v>0</v>
      </c>
      <c r="AB11" s="63"/>
      <c r="AC11" s="62">
        <f>'27.07.2026'!C13</f>
        <v>0</v>
      </c>
      <c r="AD11" s="62">
        <f>'28.07.2026'!C13</f>
        <v>0</v>
      </c>
      <c r="AE11" s="62">
        <f>'29.07.2026'!C13</f>
        <v>0</v>
      </c>
      <c r="AF11" s="62">
        <f>'30.07.2026'!C13</f>
        <v>0</v>
      </c>
      <c r="AG11" s="67">
        <f>'31.07.2026'!C13</f>
        <v>15</v>
      </c>
      <c r="AI11" s="22">
        <f t="shared" si="0"/>
        <v>37</v>
      </c>
    </row>
    <row r="12" spans="1:35" ht="20.100000000000001" customHeight="1" thickBot="1" x14ac:dyDescent="0.3">
      <c r="A12" s="68"/>
      <c r="B12" s="65"/>
      <c r="C12" s="77"/>
      <c r="D12" s="65"/>
      <c r="E12" s="77"/>
      <c r="F12" s="65"/>
      <c r="G12" s="77"/>
      <c r="H12" s="65"/>
      <c r="I12" s="77"/>
      <c r="J12" s="65"/>
      <c r="K12" s="77"/>
      <c r="L12" s="65"/>
      <c r="M12" s="77"/>
      <c r="N12" s="65"/>
      <c r="O12" s="77"/>
      <c r="P12" s="65"/>
      <c r="Q12" s="77"/>
      <c r="R12" s="65"/>
      <c r="S12" s="77"/>
      <c r="T12" s="65"/>
      <c r="U12" s="77"/>
      <c r="V12" s="65"/>
      <c r="W12" s="77"/>
      <c r="X12" s="65"/>
      <c r="Y12" s="77"/>
      <c r="Z12" s="65"/>
      <c r="AA12" s="77"/>
      <c r="AB12" s="65"/>
      <c r="AC12" s="77"/>
      <c r="AD12" s="65"/>
      <c r="AE12" s="77"/>
      <c r="AF12" s="65"/>
      <c r="AG12" s="78"/>
      <c r="AI12" s="176"/>
    </row>
    <row r="13" spans="1:35" ht="17.25" customHeight="1" x14ac:dyDescent="0.25">
      <c r="A13" s="12"/>
      <c r="B13" s="64" t="s">
        <v>13</v>
      </c>
      <c r="C13" s="75"/>
      <c r="D13" s="64"/>
      <c r="E13" s="75"/>
      <c r="F13" s="64"/>
      <c r="G13" s="75"/>
      <c r="H13" s="64"/>
      <c r="I13" s="75"/>
      <c r="J13" s="64"/>
      <c r="K13" s="75"/>
      <c r="L13" s="64"/>
      <c r="M13" s="75"/>
      <c r="N13" s="64"/>
      <c r="O13" s="75"/>
      <c r="P13" s="64"/>
      <c r="Q13" s="75"/>
      <c r="R13" s="64"/>
      <c r="S13" s="75"/>
      <c r="T13" s="64"/>
      <c r="U13" s="75"/>
      <c r="V13" s="64"/>
      <c r="W13" s="75"/>
      <c r="X13" s="64"/>
      <c r="Y13" s="75"/>
      <c r="Z13" s="64"/>
      <c r="AA13" s="75"/>
      <c r="AB13" s="64"/>
      <c r="AC13" s="75"/>
      <c r="AD13" s="64"/>
      <c r="AE13" s="75"/>
      <c r="AF13" s="64"/>
      <c r="AG13" s="76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'01.07.2026'!C16</f>
        <v>0</v>
      </c>
      <c r="D14" s="2">
        <f>'02.07.2026'!C16</f>
        <v>0</v>
      </c>
      <c r="E14" s="2">
        <f>'03.07.2026'!C16</f>
        <v>11</v>
      </c>
      <c r="F14" s="6">
        <f>'04.07.2026'!C16</f>
        <v>18</v>
      </c>
      <c r="G14" s="6"/>
      <c r="H14" s="2">
        <f>'06.07.2026'!C16</f>
        <v>16</v>
      </c>
      <c r="I14" s="2">
        <f>'07.07.2026'!C16</f>
        <v>16</v>
      </c>
      <c r="J14" s="2">
        <f>'08.07.2026'!C16</f>
        <v>14</v>
      </c>
      <c r="K14" s="2">
        <f>'09.07.2026'!C16</f>
        <v>16</v>
      </c>
      <c r="L14" s="2">
        <f>'10.07.2026'!C16</f>
        <v>16</v>
      </c>
      <c r="M14" s="6">
        <f>'11.07.2026'!C16</f>
        <v>0</v>
      </c>
      <c r="N14" s="6"/>
      <c r="O14" s="2">
        <f>'13.07.2026'!C16</f>
        <v>12</v>
      </c>
      <c r="P14" s="2">
        <f>'14.07.2026'!C16</f>
        <v>14</v>
      </c>
      <c r="Q14" s="2">
        <f>'15.07.2026'!C16</f>
        <v>0</v>
      </c>
      <c r="R14" s="2">
        <f>'16.07.2026'!C16</f>
        <v>0</v>
      </c>
      <c r="S14" s="2">
        <f>'17.07.2026'!C16</f>
        <v>2</v>
      </c>
      <c r="T14" s="6">
        <f>'18.07.2026'!C16</f>
        <v>0</v>
      </c>
      <c r="U14" s="6"/>
      <c r="V14" s="2">
        <f>'20.07.2026'!C16</f>
        <v>0</v>
      </c>
      <c r="W14" s="2">
        <f>'21.07.2026'!C16</f>
        <v>0</v>
      </c>
      <c r="X14" s="2">
        <f>'22.07.2026'!C16</f>
        <v>0</v>
      </c>
      <c r="Y14" s="2">
        <f>'23.07.2026'!C16</f>
        <v>2</v>
      </c>
      <c r="Z14" s="2">
        <f>'24.07.2026'!C16</f>
        <v>2</v>
      </c>
      <c r="AA14" s="6">
        <f>'25.07.2026'!C16</f>
        <v>0</v>
      </c>
      <c r="AB14" s="6"/>
      <c r="AC14" s="2">
        <f>'27.07.2026'!C16</f>
        <v>1</v>
      </c>
      <c r="AD14" s="2">
        <f>'28.07.2026'!C16</f>
        <v>9</v>
      </c>
      <c r="AE14" s="2">
        <f>'29.07.2026'!C16</f>
        <v>13</v>
      </c>
      <c r="AF14" s="2">
        <f>'30.07.2026'!C16</f>
        <v>16</v>
      </c>
      <c r="AG14" s="58">
        <f>'31.07.2026'!C16</f>
        <v>7</v>
      </c>
      <c r="AI14" s="22">
        <f t="shared" ref="AI14:AI24" si="1">SUM(C14:AF14)</f>
        <v>178</v>
      </c>
    </row>
    <row r="15" spans="1:35" ht="17.25" customHeight="1" x14ac:dyDescent="0.25">
      <c r="A15" s="4">
        <v>2</v>
      </c>
      <c r="B15" s="1" t="s">
        <v>15</v>
      </c>
      <c r="C15" s="2">
        <f>'01.07.2026'!C17</f>
        <v>0</v>
      </c>
      <c r="D15" s="2">
        <f>'02.07.2026'!C17</f>
        <v>0</v>
      </c>
      <c r="E15" s="2">
        <f>'03.07.2026'!C17</f>
        <v>0</v>
      </c>
      <c r="F15" s="6">
        <f>'04.07.2026'!C17</f>
        <v>0</v>
      </c>
      <c r="G15" s="6"/>
      <c r="H15" s="2">
        <f>'06.07.2026'!C17</f>
        <v>0</v>
      </c>
      <c r="I15" s="2">
        <f>'07.07.2026'!C17</f>
        <v>0</v>
      </c>
      <c r="J15" s="2">
        <f>'08.07.2026'!C17</f>
        <v>1</v>
      </c>
      <c r="K15" s="2">
        <f>'09.07.2026'!C17</f>
        <v>0</v>
      </c>
      <c r="L15" s="2">
        <f>'10.07.2026'!C17</f>
        <v>0</v>
      </c>
      <c r="M15" s="6">
        <f>'11.07.2026'!C17</f>
        <v>0</v>
      </c>
      <c r="N15" s="6"/>
      <c r="O15" s="2">
        <f>'13.07.2026'!C17</f>
        <v>0</v>
      </c>
      <c r="P15" s="2">
        <f>'14.07.2026'!C17</f>
        <v>0</v>
      </c>
      <c r="Q15" s="2">
        <f>'15.07.2026'!C17</f>
        <v>0</v>
      </c>
      <c r="R15" s="2">
        <f>'16.07.2026'!C17</f>
        <v>0</v>
      </c>
      <c r="S15" s="2">
        <f>'17.07.2026'!C17</f>
        <v>0</v>
      </c>
      <c r="T15" s="6">
        <f>'18.07.2026'!C17</f>
        <v>0</v>
      </c>
      <c r="U15" s="6"/>
      <c r="V15" s="2">
        <f>'20.07.2026'!C17</f>
        <v>0</v>
      </c>
      <c r="W15" s="2">
        <f>'21.07.2026'!C17</f>
        <v>0</v>
      </c>
      <c r="X15" s="2">
        <f>'22.07.2026'!C17</f>
        <v>0</v>
      </c>
      <c r="Y15" s="2">
        <f>'23.07.2026'!C17</f>
        <v>0</v>
      </c>
      <c r="Z15" s="2">
        <f>'24.07.2026'!C17</f>
        <v>0</v>
      </c>
      <c r="AA15" s="6">
        <f>'25.07.2026'!C17</f>
        <v>0</v>
      </c>
      <c r="AB15" s="6"/>
      <c r="AC15" s="2">
        <f>'27.07.2026'!C17</f>
        <v>0</v>
      </c>
      <c r="AD15" s="2">
        <f>'28.07.2026'!C17</f>
        <v>0</v>
      </c>
      <c r="AE15" s="2">
        <f>'29.07.2026'!C17</f>
        <v>0</v>
      </c>
      <c r="AF15" s="2">
        <f>'30.07.2026'!C17</f>
        <v>0</v>
      </c>
      <c r="AG15" s="58">
        <f>'31.07.2026'!C17</f>
        <v>0</v>
      </c>
      <c r="AI15" s="22">
        <f t="shared" si="1"/>
        <v>1</v>
      </c>
    </row>
    <row r="16" spans="1:35" ht="17.25" customHeight="1" x14ac:dyDescent="0.25">
      <c r="A16" s="4">
        <v>3</v>
      </c>
      <c r="B16" s="1" t="s">
        <v>16</v>
      </c>
      <c r="C16" s="2">
        <f>'01.07.2026'!C18</f>
        <v>0</v>
      </c>
      <c r="D16" s="2">
        <f>'02.07.2026'!C18</f>
        <v>0</v>
      </c>
      <c r="E16" s="2">
        <f>'03.07.2026'!C18</f>
        <v>0</v>
      </c>
      <c r="F16" s="6">
        <f>'04.07.2026'!C18</f>
        <v>0</v>
      </c>
      <c r="G16" s="6"/>
      <c r="H16" s="2">
        <f>'06.07.2026'!C18</f>
        <v>0</v>
      </c>
      <c r="I16" s="2">
        <f>'07.07.2026'!C18</f>
        <v>0</v>
      </c>
      <c r="J16" s="2">
        <f>'08.07.2026'!C18</f>
        <v>0</v>
      </c>
      <c r="K16" s="2">
        <f>'09.07.2026'!C18</f>
        <v>0</v>
      </c>
      <c r="L16" s="2">
        <f>'10.07.2026'!C18</f>
        <v>0</v>
      </c>
      <c r="M16" s="6">
        <f>'11.07.2026'!C18</f>
        <v>0</v>
      </c>
      <c r="N16" s="6"/>
      <c r="O16" s="2">
        <f>'13.07.2026'!C18</f>
        <v>0</v>
      </c>
      <c r="P16" s="2">
        <f>'14.07.2026'!C18</f>
        <v>0</v>
      </c>
      <c r="Q16" s="2">
        <f>'15.07.2026'!C18</f>
        <v>0</v>
      </c>
      <c r="R16" s="2">
        <f>'16.07.2026'!C18</f>
        <v>0</v>
      </c>
      <c r="S16" s="2">
        <f>'17.07.2026'!C18</f>
        <v>1</v>
      </c>
      <c r="T16" s="6">
        <f>'18.07.2026'!C18</f>
        <v>0</v>
      </c>
      <c r="U16" s="6"/>
      <c r="V16" s="2">
        <f>'20.07.2026'!C18</f>
        <v>0</v>
      </c>
      <c r="W16" s="2">
        <f>'21.07.2026'!C18</f>
        <v>0</v>
      </c>
      <c r="X16" s="2">
        <f>'22.07.2026'!C18</f>
        <v>0</v>
      </c>
      <c r="Y16" s="2">
        <f>'23.07.2026'!C18</f>
        <v>0</v>
      </c>
      <c r="Z16" s="2">
        <f>'24.07.2026'!C18</f>
        <v>0</v>
      </c>
      <c r="AA16" s="6">
        <f>'25.07.2026'!C18</f>
        <v>0</v>
      </c>
      <c r="AB16" s="6"/>
      <c r="AC16" s="2">
        <f>'27.07.2026'!C18</f>
        <v>1</v>
      </c>
      <c r="AD16" s="2">
        <f>'28.07.2026'!C18</f>
        <v>0</v>
      </c>
      <c r="AE16" s="2">
        <f>'29.07.2026'!C18</f>
        <v>0</v>
      </c>
      <c r="AF16" s="2">
        <f>'30.07.2026'!C18</f>
        <v>0</v>
      </c>
      <c r="AG16" s="58">
        <f>'31.07.2026'!C18</f>
        <v>0</v>
      </c>
      <c r="AI16" s="22">
        <f t="shared" si="1"/>
        <v>2</v>
      </c>
    </row>
    <row r="17" spans="1:35" ht="17.25" customHeight="1" x14ac:dyDescent="0.25">
      <c r="A17" s="4">
        <v>4</v>
      </c>
      <c r="B17" s="1" t="s">
        <v>17</v>
      </c>
      <c r="C17" s="2">
        <f>'01.07.2026'!C19</f>
        <v>0</v>
      </c>
      <c r="D17" s="2">
        <f>'02.07.2026'!C19</f>
        <v>0</v>
      </c>
      <c r="E17" s="2">
        <f>'03.07.2026'!C19</f>
        <v>0</v>
      </c>
      <c r="F17" s="6">
        <f>'04.07.2026'!C19</f>
        <v>1</v>
      </c>
      <c r="G17" s="6"/>
      <c r="H17" s="2">
        <f>'06.07.2026'!C19</f>
        <v>0</v>
      </c>
      <c r="I17" s="2">
        <f>'07.07.2026'!C19</f>
        <v>0</v>
      </c>
      <c r="J17" s="2">
        <f>'08.07.2026'!C19</f>
        <v>1</v>
      </c>
      <c r="K17" s="2">
        <f>'09.07.2026'!C19</f>
        <v>0</v>
      </c>
      <c r="L17" s="2">
        <f>'10.07.2026'!C19</f>
        <v>0</v>
      </c>
      <c r="M17" s="6">
        <f>'11.07.2026'!C19</f>
        <v>0</v>
      </c>
      <c r="N17" s="6"/>
      <c r="O17" s="2">
        <f>'13.07.2026'!C19</f>
        <v>0</v>
      </c>
      <c r="P17" s="2">
        <f>'14.07.2026'!C19</f>
        <v>0</v>
      </c>
      <c r="Q17" s="2">
        <f>'15.07.2026'!C19</f>
        <v>1</v>
      </c>
      <c r="R17" s="2">
        <f>'16.07.2026'!C19</f>
        <v>1</v>
      </c>
      <c r="S17" s="2">
        <f>'17.07.2026'!C19</f>
        <v>1</v>
      </c>
      <c r="T17" s="6">
        <f>'18.07.2026'!C19</f>
        <v>0</v>
      </c>
      <c r="U17" s="6"/>
      <c r="V17" s="2">
        <f>'20.07.2026'!C19</f>
        <v>0</v>
      </c>
      <c r="W17" s="2">
        <f>'21.07.2026'!C19</f>
        <v>0</v>
      </c>
      <c r="X17" s="2">
        <f>'22.07.2026'!C19</f>
        <v>1</v>
      </c>
      <c r="Y17" s="2">
        <f>'23.07.2026'!C19</f>
        <v>0</v>
      </c>
      <c r="Z17" s="2">
        <f>'24.07.2026'!C19</f>
        <v>1</v>
      </c>
      <c r="AA17" s="6">
        <f>'25.07.2026'!C19</f>
        <v>0</v>
      </c>
      <c r="AB17" s="6"/>
      <c r="AC17" s="2">
        <f>'27.07.2026'!C19</f>
        <v>0</v>
      </c>
      <c r="AD17" s="2">
        <f>'28.07.2026'!C19</f>
        <v>1</v>
      </c>
      <c r="AE17" s="2">
        <f>'29.07.2026'!C19</f>
        <v>0</v>
      </c>
      <c r="AF17" s="2">
        <f>'30.07.2026'!C19</f>
        <v>1</v>
      </c>
      <c r="AG17" s="58">
        <f>'31.07.2026'!C19</f>
        <v>0</v>
      </c>
      <c r="AI17" s="22">
        <f t="shared" si="1"/>
        <v>9</v>
      </c>
    </row>
    <row r="18" spans="1:35" ht="17.25" customHeight="1" x14ac:dyDescent="0.25">
      <c r="A18" s="4">
        <v>5</v>
      </c>
      <c r="B18" s="1" t="s">
        <v>10</v>
      </c>
      <c r="C18" s="2">
        <f>'01.07.2026'!C20</f>
        <v>0</v>
      </c>
      <c r="D18" s="2">
        <f>'02.07.2026'!C20</f>
        <v>0</v>
      </c>
      <c r="E18" s="2">
        <f>'03.07.2026'!C20</f>
        <v>0</v>
      </c>
      <c r="F18" s="6">
        <f>'04.07.2026'!C20</f>
        <v>0</v>
      </c>
      <c r="G18" s="6"/>
      <c r="H18" s="2">
        <f>'06.07.2026'!C20</f>
        <v>0</v>
      </c>
      <c r="I18" s="2">
        <f>'07.07.2026'!C20</f>
        <v>0</v>
      </c>
      <c r="J18" s="2">
        <f>'08.07.2026'!C20</f>
        <v>0</v>
      </c>
      <c r="K18" s="2">
        <f>'09.07.2026'!C20</f>
        <v>0</v>
      </c>
      <c r="L18" s="2">
        <f>'10.07.2026'!C20</f>
        <v>0</v>
      </c>
      <c r="M18" s="6">
        <f>'11.07.2026'!C20</f>
        <v>0</v>
      </c>
      <c r="N18" s="6"/>
      <c r="O18" s="2">
        <f>'13.07.2026'!C20</f>
        <v>0</v>
      </c>
      <c r="P18" s="2">
        <f>'14.07.2026'!C20</f>
        <v>0</v>
      </c>
      <c r="Q18" s="2">
        <f>'15.07.2026'!C20</f>
        <v>0</v>
      </c>
      <c r="R18" s="2">
        <f>'16.07.2026'!C20</f>
        <v>0</v>
      </c>
      <c r="S18" s="2">
        <f>'17.07.2026'!C20</f>
        <v>1</v>
      </c>
      <c r="T18" s="6">
        <f>'18.07.2026'!C20</f>
        <v>0</v>
      </c>
      <c r="U18" s="6"/>
      <c r="V18" s="2">
        <f>'20.07.2026'!C20</f>
        <v>0</v>
      </c>
      <c r="W18" s="2">
        <f>'21.07.2026'!C20</f>
        <v>0</v>
      </c>
      <c r="X18" s="2">
        <f>'22.07.2026'!C20</f>
        <v>0</v>
      </c>
      <c r="Y18" s="2">
        <f>'23.07.2026'!C20</f>
        <v>0</v>
      </c>
      <c r="Z18" s="2">
        <f>'24.07.2026'!C20</f>
        <v>0</v>
      </c>
      <c r="AA18" s="6">
        <f>'25.07.2026'!C20</f>
        <v>0</v>
      </c>
      <c r="AB18" s="6"/>
      <c r="AC18" s="2">
        <f>'27.07.2026'!C20</f>
        <v>0</v>
      </c>
      <c r="AD18" s="2">
        <f>'28.07.2026'!C20</f>
        <v>1</v>
      </c>
      <c r="AE18" s="2">
        <f>'29.07.2026'!C20</f>
        <v>0</v>
      </c>
      <c r="AF18" s="2">
        <f>'30.07.2026'!C20</f>
        <v>0</v>
      </c>
      <c r="AG18" s="58">
        <f>'31.07.2026'!C20</f>
        <v>0</v>
      </c>
      <c r="AI18" s="22">
        <f t="shared" si="1"/>
        <v>2</v>
      </c>
    </row>
    <row r="19" spans="1:35" ht="17.25" customHeight="1" x14ac:dyDescent="0.25">
      <c r="A19" s="4">
        <v>6</v>
      </c>
      <c r="B19" s="1" t="s">
        <v>18</v>
      </c>
      <c r="C19" s="2">
        <f>'01.07.2026'!C21</f>
        <v>0</v>
      </c>
      <c r="D19" s="2">
        <f>'02.07.2026'!C21</f>
        <v>0</v>
      </c>
      <c r="E19" s="2">
        <f>'03.07.2026'!C21</f>
        <v>0</v>
      </c>
      <c r="F19" s="6">
        <f>'04.07.2026'!C21</f>
        <v>0</v>
      </c>
      <c r="G19" s="6"/>
      <c r="H19" s="2">
        <f>'06.07.2026'!C21</f>
        <v>0</v>
      </c>
      <c r="I19" s="2">
        <f>'07.07.2026'!C21</f>
        <v>0</v>
      </c>
      <c r="J19" s="2">
        <f>'08.07.2026'!C21</f>
        <v>0</v>
      </c>
      <c r="K19" s="2">
        <f>'09.07.2026'!C21</f>
        <v>0</v>
      </c>
      <c r="L19" s="2">
        <f>'10.07.2026'!C21</f>
        <v>0</v>
      </c>
      <c r="M19" s="6">
        <f>'11.07.2026'!C21</f>
        <v>0</v>
      </c>
      <c r="N19" s="6"/>
      <c r="O19" s="2">
        <f>'13.07.2026'!C21</f>
        <v>0</v>
      </c>
      <c r="P19" s="2">
        <f>'14.07.2026'!C21</f>
        <v>0</v>
      </c>
      <c r="Q19" s="2">
        <f>'15.07.2026'!C21</f>
        <v>0</v>
      </c>
      <c r="R19" s="2">
        <f>'16.07.2026'!C21</f>
        <v>0</v>
      </c>
      <c r="S19" s="2">
        <f>'17.07.2026'!C21</f>
        <v>0</v>
      </c>
      <c r="T19" s="6">
        <f>'18.07.2026'!C21</f>
        <v>0</v>
      </c>
      <c r="U19" s="6"/>
      <c r="V19" s="2">
        <f>'20.07.2026'!C21</f>
        <v>0</v>
      </c>
      <c r="W19" s="2">
        <f>'21.07.2026'!C21</f>
        <v>0</v>
      </c>
      <c r="X19" s="2">
        <f>'22.07.2026'!C21</f>
        <v>0</v>
      </c>
      <c r="Y19" s="2">
        <f>'23.07.2026'!C21</f>
        <v>0</v>
      </c>
      <c r="Z19" s="2">
        <f>'24.07.2026'!C21</f>
        <v>0</v>
      </c>
      <c r="AA19" s="6">
        <f>'25.07.2026'!C21</f>
        <v>0</v>
      </c>
      <c r="AB19" s="6"/>
      <c r="AC19" s="2">
        <f>'27.07.2026'!C21</f>
        <v>0</v>
      </c>
      <c r="AD19" s="2">
        <f>'28.07.2026'!C21</f>
        <v>0</v>
      </c>
      <c r="AE19" s="2">
        <f>'29.07.2026'!C21</f>
        <v>0</v>
      </c>
      <c r="AF19" s="2">
        <f>'30.07.2026'!C21</f>
        <v>0</v>
      </c>
      <c r="AG19" s="58">
        <f>'31.07.2026'!C21</f>
        <v>0</v>
      </c>
      <c r="AI19" s="22">
        <f t="shared" si="1"/>
        <v>0</v>
      </c>
    </row>
    <row r="20" spans="1:35" ht="17.25" customHeight="1" x14ac:dyDescent="0.25">
      <c r="A20" s="4">
        <v>7</v>
      </c>
      <c r="B20" s="17" t="s">
        <v>19</v>
      </c>
      <c r="C20" s="2">
        <f>'01.07.2026'!C22</f>
        <v>0</v>
      </c>
      <c r="D20" s="2">
        <f>'02.07.2026'!C22</f>
        <v>0</v>
      </c>
      <c r="E20" s="2">
        <f>'03.07.2026'!C22</f>
        <v>0</v>
      </c>
      <c r="F20" s="6">
        <f>'04.07.2026'!C22</f>
        <v>0</v>
      </c>
      <c r="G20" s="6"/>
      <c r="H20" s="2">
        <f>'06.07.2026'!C22</f>
        <v>0</v>
      </c>
      <c r="I20" s="2">
        <f>'07.07.2026'!C22</f>
        <v>0</v>
      </c>
      <c r="J20" s="2">
        <f>'08.07.2026'!C22</f>
        <v>0</v>
      </c>
      <c r="K20" s="2">
        <f>'09.07.2026'!C22</f>
        <v>0</v>
      </c>
      <c r="L20" s="2">
        <f>'10.07.2026'!C22</f>
        <v>0</v>
      </c>
      <c r="M20" s="6">
        <f>'11.07.2026'!C22</f>
        <v>0</v>
      </c>
      <c r="N20" s="6"/>
      <c r="O20" s="2">
        <f>'13.07.2026'!C22</f>
        <v>0</v>
      </c>
      <c r="P20" s="2">
        <f>'14.07.2026'!C22</f>
        <v>0</v>
      </c>
      <c r="Q20" s="2">
        <f>'15.07.2026'!C22</f>
        <v>0</v>
      </c>
      <c r="R20" s="2">
        <f>'16.07.2026'!C22</f>
        <v>0</v>
      </c>
      <c r="S20" s="2">
        <f>'17.07.2026'!C22</f>
        <v>0</v>
      </c>
      <c r="T20" s="6">
        <f>'18.07.2026'!C22</f>
        <v>0</v>
      </c>
      <c r="U20" s="6"/>
      <c r="V20" s="2">
        <f>'20.07.2026'!C22</f>
        <v>0</v>
      </c>
      <c r="W20" s="2">
        <f>'21.07.2026'!C22</f>
        <v>0</v>
      </c>
      <c r="X20" s="2">
        <f>'22.07.2026'!C22</f>
        <v>0</v>
      </c>
      <c r="Y20" s="2">
        <f>'23.07.2026'!C22</f>
        <v>0</v>
      </c>
      <c r="Z20" s="2">
        <f>'24.07.2026'!C22</f>
        <v>0</v>
      </c>
      <c r="AA20" s="6">
        <f>'25.07.2026'!C22</f>
        <v>0</v>
      </c>
      <c r="AB20" s="6"/>
      <c r="AC20" s="2">
        <f>'27.07.2026'!C22</f>
        <v>0</v>
      </c>
      <c r="AD20" s="2">
        <f>'28.07.2026'!C22</f>
        <v>0</v>
      </c>
      <c r="AE20" s="2">
        <f>'29.07.2026'!C22</f>
        <v>0</v>
      </c>
      <c r="AF20" s="2">
        <f>'30.07.2026'!C22</f>
        <v>0</v>
      </c>
      <c r="AG20" s="58">
        <f>'31.07.2026'!C22</f>
        <v>0</v>
      </c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'01.07.2026'!C23</f>
        <v>0</v>
      </c>
      <c r="D21" s="2">
        <f>'02.07.2026'!C23</f>
        <v>0</v>
      </c>
      <c r="E21" s="2">
        <f>'03.07.2026'!C23</f>
        <v>0</v>
      </c>
      <c r="F21" s="6">
        <f>'04.07.2026'!C23</f>
        <v>0</v>
      </c>
      <c r="G21" s="6"/>
      <c r="H21" s="2">
        <f>'06.07.2026'!C23</f>
        <v>0</v>
      </c>
      <c r="I21" s="2">
        <f>'07.07.2026'!C23</f>
        <v>0</v>
      </c>
      <c r="J21" s="2">
        <f>'08.07.2026'!C23</f>
        <v>0</v>
      </c>
      <c r="K21" s="2">
        <f>'09.07.2026'!C23</f>
        <v>0</v>
      </c>
      <c r="L21" s="2">
        <f>'10.07.2026'!C23</f>
        <v>0</v>
      </c>
      <c r="M21" s="6">
        <f>'11.07.2026'!C23</f>
        <v>0</v>
      </c>
      <c r="N21" s="6"/>
      <c r="O21" s="2">
        <f>'13.07.2026'!C23</f>
        <v>0</v>
      </c>
      <c r="P21" s="2">
        <f>'14.07.2026'!C23</f>
        <v>0</v>
      </c>
      <c r="Q21" s="2">
        <f>'15.07.2026'!C23</f>
        <v>0</v>
      </c>
      <c r="R21" s="2">
        <f>'16.07.2026'!C23</f>
        <v>0</v>
      </c>
      <c r="S21" s="2">
        <f>'17.07.2026'!C23</f>
        <v>0</v>
      </c>
      <c r="T21" s="6">
        <f>'18.07.2026'!C23</f>
        <v>0</v>
      </c>
      <c r="U21" s="6"/>
      <c r="V21" s="2">
        <f>'20.07.2026'!C23</f>
        <v>0</v>
      </c>
      <c r="W21" s="2">
        <f>'21.07.2026'!C23</f>
        <v>0</v>
      </c>
      <c r="X21" s="2">
        <f>'22.07.2026'!C23</f>
        <v>0</v>
      </c>
      <c r="Y21" s="2">
        <f>'23.07.2026'!C23</f>
        <v>0</v>
      </c>
      <c r="Z21" s="2">
        <f>'24.07.2026'!C23</f>
        <v>0</v>
      </c>
      <c r="AA21" s="6">
        <f>'25.07.2026'!C23</f>
        <v>0</v>
      </c>
      <c r="AB21" s="6"/>
      <c r="AC21" s="2">
        <f>'27.07.2026'!C23</f>
        <v>0</v>
      </c>
      <c r="AD21" s="2">
        <f>'28.07.2026'!C23</f>
        <v>0</v>
      </c>
      <c r="AE21" s="2">
        <f>'29.07.2026'!C23</f>
        <v>0</v>
      </c>
      <c r="AF21" s="2">
        <f>'30.07.2026'!C23</f>
        <v>0</v>
      </c>
      <c r="AG21" s="58">
        <f>'31.07.2026'!C23</f>
        <v>0</v>
      </c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'01.07.2026'!C24</f>
        <v>0</v>
      </c>
      <c r="D22" s="2">
        <f>'02.07.2026'!C24</f>
        <v>0</v>
      </c>
      <c r="E22" s="2">
        <f>'03.07.2026'!C24</f>
        <v>0</v>
      </c>
      <c r="F22" s="6">
        <f>'04.07.2026'!C24</f>
        <v>0</v>
      </c>
      <c r="G22" s="6"/>
      <c r="H22" s="2">
        <f>'06.07.2026'!C24</f>
        <v>0</v>
      </c>
      <c r="I22" s="2">
        <f>'07.07.2026'!C24</f>
        <v>0</v>
      </c>
      <c r="J22" s="2">
        <f>'08.07.2026'!C24</f>
        <v>0</v>
      </c>
      <c r="K22" s="2">
        <f>'09.07.2026'!C24</f>
        <v>0</v>
      </c>
      <c r="L22" s="2">
        <f>'10.07.2026'!C24</f>
        <v>0</v>
      </c>
      <c r="M22" s="6">
        <f>'11.07.2026'!C24</f>
        <v>0</v>
      </c>
      <c r="N22" s="6"/>
      <c r="O22" s="2">
        <f>'13.07.2026'!C24</f>
        <v>0</v>
      </c>
      <c r="P22" s="2">
        <f>'14.07.2026'!C24</f>
        <v>0</v>
      </c>
      <c r="Q22" s="2">
        <f>'15.07.2026'!C24</f>
        <v>0</v>
      </c>
      <c r="R22" s="2">
        <f>'16.07.2026'!C24</f>
        <v>0</v>
      </c>
      <c r="S22" s="2">
        <f>'17.07.2026'!C24</f>
        <v>0</v>
      </c>
      <c r="T22" s="6">
        <f>'18.07.2026'!C24</f>
        <v>0</v>
      </c>
      <c r="U22" s="6"/>
      <c r="V22" s="2">
        <f>'20.07.2026'!C24</f>
        <v>0</v>
      </c>
      <c r="W22" s="2">
        <f>'21.07.2026'!C24</f>
        <v>0</v>
      </c>
      <c r="X22" s="2">
        <f>'22.07.2026'!C24</f>
        <v>0</v>
      </c>
      <c r="Y22" s="2">
        <f>'23.07.2026'!C24</f>
        <v>0</v>
      </c>
      <c r="Z22" s="2">
        <f>'24.07.2026'!C24</f>
        <v>0</v>
      </c>
      <c r="AA22" s="6">
        <f>'25.07.2026'!C24</f>
        <v>0</v>
      </c>
      <c r="AB22" s="6"/>
      <c r="AC22" s="2">
        <f>'27.07.2026'!C24</f>
        <v>0</v>
      </c>
      <c r="AD22" s="2">
        <f>'28.07.2026'!C24</f>
        <v>0</v>
      </c>
      <c r="AE22" s="2">
        <f>'29.07.2026'!C24</f>
        <v>0</v>
      </c>
      <c r="AF22" s="2">
        <f>'30.07.2026'!C24</f>
        <v>0</v>
      </c>
      <c r="AG22" s="58">
        <f>'31.07.2026'!C24</f>
        <v>0</v>
      </c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'01.07.2026'!C25</f>
        <v>0</v>
      </c>
      <c r="D23" s="2">
        <f>'02.07.2026'!C25</f>
        <v>0</v>
      </c>
      <c r="E23" s="2">
        <f>'03.07.2026'!C25</f>
        <v>0</v>
      </c>
      <c r="F23" s="6">
        <f>'04.07.2026'!C25</f>
        <v>0</v>
      </c>
      <c r="G23" s="6"/>
      <c r="H23" s="2">
        <f>'06.07.2026'!C25</f>
        <v>0</v>
      </c>
      <c r="I23" s="2">
        <f>'07.07.2026'!C25</f>
        <v>0</v>
      </c>
      <c r="J23" s="2">
        <f>'08.07.2026'!C25</f>
        <v>0</v>
      </c>
      <c r="K23" s="2">
        <f>'09.07.2026'!C25</f>
        <v>0</v>
      </c>
      <c r="L23" s="2">
        <f>'10.07.2026'!C25</f>
        <v>0</v>
      </c>
      <c r="M23" s="6">
        <f>'11.07.2026'!C25</f>
        <v>0</v>
      </c>
      <c r="N23" s="6"/>
      <c r="O23" s="2">
        <f>'13.07.2026'!C25</f>
        <v>0</v>
      </c>
      <c r="P23" s="2">
        <f>'14.07.2026'!C25</f>
        <v>0</v>
      </c>
      <c r="Q23" s="2">
        <f>'15.07.2026'!C25</f>
        <v>0</v>
      </c>
      <c r="R23" s="2">
        <f>'16.07.2026'!C25</f>
        <v>0</v>
      </c>
      <c r="S23" s="2">
        <f>'17.07.2026'!C25</f>
        <v>0</v>
      </c>
      <c r="T23" s="6">
        <f>'18.07.2026'!C25</f>
        <v>0</v>
      </c>
      <c r="U23" s="6"/>
      <c r="V23" s="2">
        <f>'20.07.2026'!C25</f>
        <v>0</v>
      </c>
      <c r="W23" s="2">
        <f>'21.07.2026'!C25</f>
        <v>0</v>
      </c>
      <c r="X23" s="2">
        <f>'22.07.2026'!C25</f>
        <v>0</v>
      </c>
      <c r="Y23" s="2">
        <f>'23.07.2026'!C25</f>
        <v>0</v>
      </c>
      <c r="Z23" s="2">
        <f>'24.07.2026'!C25</f>
        <v>0</v>
      </c>
      <c r="AA23" s="6">
        <f>'25.07.2026'!C25</f>
        <v>0</v>
      </c>
      <c r="AB23" s="6"/>
      <c r="AC23" s="2">
        <f>'27.07.2026'!C25</f>
        <v>0</v>
      </c>
      <c r="AD23" s="2">
        <f>'28.07.2026'!C25</f>
        <v>0</v>
      </c>
      <c r="AE23" s="2">
        <f>'29.07.2026'!C25</f>
        <v>0</v>
      </c>
      <c r="AF23" s="2">
        <f>'30.07.2026'!C25</f>
        <v>0</v>
      </c>
      <c r="AG23" s="58">
        <f>'31.07.2026'!C25</f>
        <v>0</v>
      </c>
      <c r="AI23" s="22">
        <f t="shared" si="1"/>
        <v>0</v>
      </c>
    </row>
    <row r="24" spans="1:35" ht="17.25" customHeight="1" thickBot="1" x14ac:dyDescent="0.3">
      <c r="A24" s="60">
        <v>11</v>
      </c>
      <c r="B24" s="61" t="s">
        <v>23</v>
      </c>
      <c r="C24" s="62">
        <f>'01.07.2026'!C26</f>
        <v>0</v>
      </c>
      <c r="D24" s="62">
        <f>'02.07.2026'!C26</f>
        <v>1</v>
      </c>
      <c r="E24" s="62">
        <f>'03.07.2026'!C26</f>
        <v>0</v>
      </c>
      <c r="F24" s="63">
        <f>'04.07.2026'!C26</f>
        <v>1</v>
      </c>
      <c r="G24" s="63"/>
      <c r="H24" s="62">
        <f>'06.07.2026'!C26</f>
        <v>0</v>
      </c>
      <c r="I24" s="62">
        <f>'07.07.2026'!C26</f>
        <v>0</v>
      </c>
      <c r="J24" s="62">
        <f>'08.07.2026'!C26</f>
        <v>2</v>
      </c>
      <c r="K24" s="62">
        <f>'09.07.2026'!C26</f>
        <v>0</v>
      </c>
      <c r="L24" s="62">
        <f>'10.07.2026'!C26</f>
        <v>0</v>
      </c>
      <c r="M24" s="63">
        <f>'11.07.2026'!C26</f>
        <v>0</v>
      </c>
      <c r="N24" s="63"/>
      <c r="O24" s="62">
        <f>'13.07.2026'!C26</f>
        <v>0</v>
      </c>
      <c r="P24" s="62">
        <f>'14.07.2026'!C26</f>
        <v>0</v>
      </c>
      <c r="Q24" s="62">
        <f>'15.07.2026'!C26</f>
        <v>0</v>
      </c>
      <c r="R24" s="62">
        <f>'16.07.2026'!C26</f>
        <v>0</v>
      </c>
      <c r="S24" s="62">
        <f>'17.07.2026'!C26</f>
        <v>0</v>
      </c>
      <c r="T24" s="63">
        <f>'18.07.2026'!C26</f>
        <v>0</v>
      </c>
      <c r="U24" s="63"/>
      <c r="V24" s="62">
        <f>'20.07.2026'!C26</f>
        <v>4</v>
      </c>
      <c r="W24" s="62">
        <f>'21.07.2026'!C26</f>
        <v>4</v>
      </c>
      <c r="X24" s="62">
        <f>'22.07.2026'!C26</f>
        <v>0</v>
      </c>
      <c r="Y24" s="62">
        <f>'23.07.2026'!C26</f>
        <v>2</v>
      </c>
      <c r="Z24" s="62">
        <f>'24.07.2026'!C26</f>
        <v>3</v>
      </c>
      <c r="AA24" s="63">
        <f>'25.07.2026'!C26</f>
        <v>0</v>
      </c>
      <c r="AB24" s="63"/>
      <c r="AC24" s="62">
        <f>'27.07.2026'!C26</f>
        <v>8</v>
      </c>
      <c r="AD24" s="62">
        <f>'28.07.2026'!C26</f>
        <v>2</v>
      </c>
      <c r="AE24" s="62">
        <f>'29.07.2026'!C26</f>
        <v>1</v>
      </c>
      <c r="AF24" s="62">
        <f>'30.07.2026'!C26</f>
        <v>0</v>
      </c>
      <c r="AG24" s="67">
        <f>'31.07.2026'!C26</f>
        <v>1</v>
      </c>
      <c r="AI24" s="22">
        <f t="shared" si="1"/>
        <v>28</v>
      </c>
    </row>
    <row r="25" spans="1:35" ht="15.75" thickBot="1" x14ac:dyDescent="0.3">
      <c r="A25" s="69"/>
      <c r="B25" s="70"/>
      <c r="C25" s="73"/>
      <c r="D25" s="70"/>
      <c r="E25" s="73"/>
      <c r="F25" s="70"/>
      <c r="G25" s="73"/>
      <c r="H25" s="70"/>
      <c r="I25" s="73"/>
      <c r="J25" s="70"/>
      <c r="K25" s="73"/>
      <c r="L25" s="70"/>
      <c r="M25" s="73"/>
      <c r="N25" s="70"/>
      <c r="O25" s="73"/>
      <c r="P25" s="70"/>
      <c r="Q25" s="73"/>
      <c r="R25" s="70"/>
      <c r="S25" s="73"/>
      <c r="T25" s="70"/>
      <c r="U25" s="73"/>
      <c r="V25" s="70"/>
      <c r="W25" s="73"/>
      <c r="X25" s="70"/>
      <c r="Y25" s="73"/>
      <c r="Z25" s="70"/>
      <c r="AA25" s="73"/>
      <c r="AB25" s="70"/>
      <c r="AC25" s="73"/>
      <c r="AD25" s="70"/>
      <c r="AE25" s="73"/>
      <c r="AF25" s="70"/>
      <c r="AG25" s="74"/>
      <c r="AI25" s="176"/>
    </row>
    <row r="26" spans="1:35" ht="17.25" customHeight="1" x14ac:dyDescent="0.25">
      <c r="A26" s="3"/>
      <c r="B26" s="21" t="s">
        <v>24</v>
      </c>
      <c r="C26" s="71"/>
      <c r="D26" s="21"/>
      <c r="E26" s="71"/>
      <c r="F26" s="21"/>
      <c r="G26" s="71"/>
      <c r="H26" s="21"/>
      <c r="I26" s="71"/>
      <c r="J26" s="21"/>
      <c r="K26" s="71"/>
      <c r="L26" s="21"/>
      <c r="M26" s="71"/>
      <c r="N26" s="21"/>
      <c r="O26" s="71"/>
      <c r="P26" s="21"/>
      <c r="Q26" s="71"/>
      <c r="R26" s="21"/>
      <c r="S26" s="71"/>
      <c r="T26" s="21"/>
      <c r="U26" s="71"/>
      <c r="V26" s="21"/>
      <c r="W26" s="71"/>
      <c r="X26" s="21"/>
      <c r="Y26" s="71"/>
      <c r="Z26" s="21"/>
      <c r="AA26" s="71"/>
      <c r="AB26" s="21"/>
      <c r="AC26" s="71"/>
      <c r="AD26" s="21"/>
      <c r="AE26" s="71"/>
      <c r="AF26" s="21"/>
      <c r="AG26" s="72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'01.07.2026'!C29</f>
        <v>0</v>
      </c>
      <c r="D27" s="2">
        <f>'02.07.2026'!C29</f>
        <v>0</v>
      </c>
      <c r="E27" s="2">
        <f>'03.07.2026'!C29</f>
        <v>0</v>
      </c>
      <c r="F27" s="6">
        <f>'04.07.2026'!C29</f>
        <v>0</v>
      </c>
      <c r="G27" s="6"/>
      <c r="H27" s="2">
        <f>'06.07.2026'!C29</f>
        <v>0</v>
      </c>
      <c r="I27" s="2">
        <f>'07.07.2026'!C29</f>
        <v>0</v>
      </c>
      <c r="J27" s="2">
        <f>'08.07.2026'!C29</f>
        <v>0</v>
      </c>
      <c r="K27" s="2">
        <f>'09.07.2026'!C29</f>
        <v>0</v>
      </c>
      <c r="L27" s="2">
        <f>'10.07.2026'!C29</f>
        <v>0</v>
      </c>
      <c r="M27" s="6">
        <f>'11.07.2026'!C29</f>
        <v>0</v>
      </c>
      <c r="N27" s="6"/>
      <c r="O27" s="2">
        <f>'13.07.2026'!C29</f>
        <v>0</v>
      </c>
      <c r="P27" s="2">
        <f>'14.07.2026'!C29</f>
        <v>1</v>
      </c>
      <c r="Q27" s="2">
        <f>'15.07.2026'!C29</f>
        <v>0</v>
      </c>
      <c r="R27" s="2">
        <f>'16.07.2026'!C29</f>
        <v>0</v>
      </c>
      <c r="S27" s="2">
        <f>'17.07.2026'!C29</f>
        <v>0</v>
      </c>
      <c r="T27" s="6">
        <f>'18.07.2026'!C29</f>
        <v>0</v>
      </c>
      <c r="U27" s="6"/>
      <c r="V27" s="2">
        <f>'20.07.2026'!C29</f>
        <v>0</v>
      </c>
      <c r="W27" s="2">
        <f>'21.07.2026'!C29</f>
        <v>0</v>
      </c>
      <c r="X27" s="2">
        <f>'22.07.2026'!C29</f>
        <v>0</v>
      </c>
      <c r="Y27" s="2">
        <f>'23.07.2026'!C29</f>
        <v>0</v>
      </c>
      <c r="Z27" s="2">
        <f>'24.07.2026'!C29</f>
        <v>0</v>
      </c>
      <c r="AA27" s="6">
        <f>'25.07.2026'!C29</f>
        <v>0</v>
      </c>
      <c r="AB27" s="6"/>
      <c r="AC27" s="2">
        <f>'27.07.2026'!C29</f>
        <v>0</v>
      </c>
      <c r="AD27" s="2">
        <f>'28.07.2026'!C29</f>
        <v>0</v>
      </c>
      <c r="AE27" s="2">
        <f>'29.07.2026'!C29</f>
        <v>0</v>
      </c>
      <c r="AF27" s="2">
        <f>'30.07.2026'!C29</f>
        <v>0</v>
      </c>
      <c r="AG27" s="58">
        <f>'31.07.2026'!C29</f>
        <v>0</v>
      </c>
      <c r="AI27" s="22">
        <f t="shared" ref="AI27:AI31" si="2">SUM(C27:AF27)</f>
        <v>1</v>
      </c>
    </row>
    <row r="28" spans="1:35" ht="17.25" customHeight="1" x14ac:dyDescent="0.25">
      <c r="A28" s="4">
        <v>2</v>
      </c>
      <c r="B28" s="18" t="s">
        <v>26</v>
      </c>
      <c r="C28" s="2">
        <f>'01.07.2026'!C30</f>
        <v>0</v>
      </c>
      <c r="D28" s="2">
        <f>'02.07.2026'!C30</f>
        <v>1</v>
      </c>
      <c r="E28" s="2">
        <f>'03.07.2026'!C30</f>
        <v>0</v>
      </c>
      <c r="F28" s="6">
        <f>'04.07.2026'!C30</f>
        <v>2</v>
      </c>
      <c r="G28" s="6"/>
      <c r="H28" s="2">
        <f>'06.07.2026'!C30</f>
        <v>0</v>
      </c>
      <c r="I28" s="2">
        <f>'07.07.2026'!C30</f>
        <v>0</v>
      </c>
      <c r="J28" s="2">
        <f>'08.07.2026'!C30</f>
        <v>0</v>
      </c>
      <c r="K28" s="2">
        <f>'09.07.2026'!C30</f>
        <v>0</v>
      </c>
      <c r="L28" s="2">
        <f>'10.07.2026'!C30</f>
        <v>0</v>
      </c>
      <c r="M28" s="6">
        <f>'11.07.2026'!C30</f>
        <v>0</v>
      </c>
      <c r="N28" s="6"/>
      <c r="O28" s="2">
        <f>'13.07.2026'!C30</f>
        <v>0</v>
      </c>
      <c r="P28" s="2">
        <f>'14.07.2026'!C30</f>
        <v>1</v>
      </c>
      <c r="Q28" s="2">
        <f>'15.07.2026'!C30</f>
        <v>4</v>
      </c>
      <c r="R28" s="2">
        <f>'16.07.2026'!C30</f>
        <v>0</v>
      </c>
      <c r="S28" s="2">
        <f>'17.07.2026'!C30</f>
        <v>0</v>
      </c>
      <c r="T28" s="6">
        <f>'18.07.2026'!C30</f>
        <v>0</v>
      </c>
      <c r="U28" s="6"/>
      <c r="V28" s="2">
        <f>'20.07.2026'!C30</f>
        <v>0</v>
      </c>
      <c r="W28" s="2">
        <f>'21.07.2026'!C30</f>
        <v>2</v>
      </c>
      <c r="X28" s="2">
        <f>'22.07.2026'!C30</f>
        <v>4</v>
      </c>
      <c r="Y28" s="2">
        <f>'23.07.2026'!C30</f>
        <v>1</v>
      </c>
      <c r="Z28" s="2">
        <f>'24.07.2026'!C30</f>
        <v>0</v>
      </c>
      <c r="AA28" s="6">
        <f>'25.07.2026'!C30</f>
        <v>0</v>
      </c>
      <c r="AB28" s="6"/>
      <c r="AC28" s="2">
        <f>'27.07.2026'!C30</f>
        <v>0</v>
      </c>
      <c r="AD28" s="2">
        <f>'28.07.2026'!C30</f>
        <v>0</v>
      </c>
      <c r="AE28" s="2">
        <f>'29.07.2026'!C30</f>
        <v>0</v>
      </c>
      <c r="AF28" s="2">
        <f>'30.07.2026'!C30</f>
        <v>1</v>
      </c>
      <c r="AG28" s="58">
        <f>'31.07.2026'!C30</f>
        <v>0</v>
      </c>
      <c r="AI28" s="22">
        <f t="shared" si="2"/>
        <v>16</v>
      </c>
    </row>
    <row r="29" spans="1:35" ht="17.25" customHeight="1" x14ac:dyDescent="0.25">
      <c r="A29" s="4">
        <v>3</v>
      </c>
      <c r="B29" s="18" t="s">
        <v>27</v>
      </c>
      <c r="C29" s="2">
        <f>'01.07.2026'!C31</f>
        <v>0</v>
      </c>
      <c r="D29" s="2">
        <f>'02.07.2026'!C31</f>
        <v>0</v>
      </c>
      <c r="E29" s="2">
        <f>'03.07.2026'!C31</f>
        <v>0</v>
      </c>
      <c r="F29" s="6">
        <f>'04.07.2026'!C31</f>
        <v>0</v>
      </c>
      <c r="G29" s="6"/>
      <c r="H29" s="2">
        <f>'06.07.2026'!C31</f>
        <v>1</v>
      </c>
      <c r="I29" s="2">
        <f>'07.07.2026'!C31</f>
        <v>0</v>
      </c>
      <c r="J29" s="2">
        <f>'08.07.2026'!C31</f>
        <v>0</v>
      </c>
      <c r="K29" s="2">
        <f>'09.07.2026'!C31</f>
        <v>0</v>
      </c>
      <c r="L29" s="2">
        <f>'10.07.2026'!C31</f>
        <v>0</v>
      </c>
      <c r="M29" s="6">
        <f>'11.07.2026'!C31</f>
        <v>0</v>
      </c>
      <c r="N29" s="6"/>
      <c r="O29" s="2">
        <f>'13.07.2026'!C31</f>
        <v>4</v>
      </c>
      <c r="P29" s="2">
        <f>'14.07.2026'!C31</f>
        <v>0</v>
      </c>
      <c r="Q29" s="2">
        <f>'15.07.2026'!C31</f>
        <v>0</v>
      </c>
      <c r="R29" s="2">
        <f>'16.07.2026'!C31</f>
        <v>3</v>
      </c>
      <c r="S29" s="2">
        <f>'17.07.2026'!C31</f>
        <v>4</v>
      </c>
      <c r="T29" s="6">
        <f>'18.07.2026'!C31</f>
        <v>0</v>
      </c>
      <c r="U29" s="6"/>
      <c r="V29" s="2">
        <f>'20.07.2026'!C31</f>
        <v>0</v>
      </c>
      <c r="W29" s="2">
        <f>'21.07.2026'!C31</f>
        <v>0</v>
      </c>
      <c r="X29" s="2">
        <f>'22.07.2026'!C31</f>
        <v>0</v>
      </c>
      <c r="Y29" s="2">
        <f>'23.07.2026'!C31</f>
        <v>0</v>
      </c>
      <c r="Z29" s="2">
        <f>'24.07.2026'!C31</f>
        <v>0</v>
      </c>
      <c r="AA29" s="6">
        <f>'25.07.2026'!C31</f>
        <v>0</v>
      </c>
      <c r="AB29" s="6"/>
      <c r="AC29" s="2">
        <f>'27.07.2026'!C31</f>
        <v>0</v>
      </c>
      <c r="AD29" s="2">
        <f>'28.07.2026'!C31</f>
        <v>0</v>
      </c>
      <c r="AE29" s="2">
        <f>'29.07.2026'!C31</f>
        <v>2</v>
      </c>
      <c r="AF29" s="2">
        <f>'30.07.2026'!C31</f>
        <v>0</v>
      </c>
      <c r="AG29" s="58">
        <f>'31.07.2026'!C31</f>
        <v>0</v>
      </c>
      <c r="AI29" s="22">
        <f t="shared" si="2"/>
        <v>14</v>
      </c>
    </row>
    <row r="30" spans="1:35" ht="17.25" customHeight="1" x14ac:dyDescent="0.25">
      <c r="A30" s="4">
        <v>4</v>
      </c>
      <c r="B30" s="18" t="s">
        <v>28</v>
      </c>
      <c r="C30" s="2">
        <f>'01.07.2026'!C32</f>
        <v>0</v>
      </c>
      <c r="D30" s="2">
        <f>'02.07.2026'!C32</f>
        <v>0</v>
      </c>
      <c r="E30" s="2">
        <f>'03.07.2026'!C32</f>
        <v>0</v>
      </c>
      <c r="F30" s="6">
        <f>'04.07.2026'!C32</f>
        <v>0</v>
      </c>
      <c r="G30" s="6"/>
      <c r="H30" s="2">
        <f>'06.07.2026'!C32</f>
        <v>0</v>
      </c>
      <c r="I30" s="2">
        <f>'07.07.2026'!C32</f>
        <v>0</v>
      </c>
      <c r="J30" s="2">
        <f>'08.07.2026'!C32</f>
        <v>0</v>
      </c>
      <c r="K30" s="2">
        <f>'09.07.2026'!C32</f>
        <v>0</v>
      </c>
      <c r="L30" s="2">
        <f>'10.07.2026'!C32</f>
        <v>0</v>
      </c>
      <c r="M30" s="6">
        <f>'11.07.2026'!C32</f>
        <v>0</v>
      </c>
      <c r="N30" s="6"/>
      <c r="O30" s="2">
        <f>'13.07.2026'!C32</f>
        <v>0</v>
      </c>
      <c r="P30" s="2">
        <f>'14.07.2026'!C32</f>
        <v>0</v>
      </c>
      <c r="Q30" s="2">
        <f>'15.07.2026'!C32</f>
        <v>0</v>
      </c>
      <c r="R30" s="2">
        <f>'16.07.2026'!C32</f>
        <v>0</v>
      </c>
      <c r="S30" s="2">
        <f>'17.07.2026'!C32</f>
        <v>0</v>
      </c>
      <c r="T30" s="6">
        <f>'18.07.2026'!C32</f>
        <v>0</v>
      </c>
      <c r="U30" s="6"/>
      <c r="V30" s="2">
        <f>'20.07.2026'!C32</f>
        <v>0</v>
      </c>
      <c r="W30" s="2">
        <f>'21.07.2026'!C32</f>
        <v>0</v>
      </c>
      <c r="X30" s="2">
        <f>'22.07.2026'!C32</f>
        <v>0</v>
      </c>
      <c r="Y30" s="2">
        <f>'23.07.2026'!C32</f>
        <v>0</v>
      </c>
      <c r="Z30" s="2">
        <f>'24.07.2026'!C32</f>
        <v>0</v>
      </c>
      <c r="AA30" s="6">
        <f>'25.07.2026'!C32</f>
        <v>0</v>
      </c>
      <c r="AB30" s="6"/>
      <c r="AC30" s="2">
        <f>'27.07.2026'!C32</f>
        <v>0</v>
      </c>
      <c r="AD30" s="2">
        <f>'28.07.2026'!C32</f>
        <v>0</v>
      </c>
      <c r="AE30" s="2">
        <f>'29.07.2026'!C32</f>
        <v>0</v>
      </c>
      <c r="AF30" s="2">
        <f>'30.07.2026'!C32</f>
        <v>0</v>
      </c>
      <c r="AG30" s="58">
        <f>'31.07.2026'!C32</f>
        <v>0</v>
      </c>
      <c r="AI30" s="22">
        <f t="shared" si="2"/>
        <v>0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'01.07.2026'!C33</f>
        <v>12</v>
      </c>
      <c r="D31" s="5">
        <f>'02.07.2026'!C33</f>
        <v>15</v>
      </c>
      <c r="E31" s="5">
        <f>'03.07.2026'!C33</f>
        <v>0</v>
      </c>
      <c r="F31" s="7">
        <f>'04.07.2026'!C33</f>
        <v>0</v>
      </c>
      <c r="G31" s="7"/>
      <c r="H31" s="5">
        <f>'06.07.2026'!C33</f>
        <v>0</v>
      </c>
      <c r="I31" s="5">
        <f>'07.07.2026'!C33</f>
        <v>0</v>
      </c>
      <c r="J31" s="5">
        <f>'08.07.2026'!C33</f>
        <v>1</v>
      </c>
      <c r="K31" s="5">
        <f>'09.07.2026'!C33</f>
        <v>0</v>
      </c>
      <c r="L31" s="5">
        <f>'10.07.2026'!C33</f>
        <v>0</v>
      </c>
      <c r="M31" s="7">
        <f>'11.07.2026'!C33</f>
        <v>0</v>
      </c>
      <c r="N31" s="7"/>
      <c r="O31" s="5">
        <f>'13.07.2026'!C33</f>
        <v>0</v>
      </c>
      <c r="P31" s="5">
        <f>'14.07.2026'!C33</f>
        <v>0</v>
      </c>
      <c r="Q31" s="5">
        <f>'15.07.2026'!C33</f>
        <v>0</v>
      </c>
      <c r="R31" s="5">
        <f>'16.07.2026'!C33</f>
        <v>0</v>
      </c>
      <c r="S31" s="5">
        <f>'17.07.2026'!C33</f>
        <v>0</v>
      </c>
      <c r="T31" s="7">
        <f>'18.07.2026'!C33</f>
        <v>0</v>
      </c>
      <c r="U31" s="7"/>
      <c r="V31" s="5">
        <f>'20.07.2026'!C33</f>
        <v>0</v>
      </c>
      <c r="W31" s="5">
        <f>'21.07.2026'!C33</f>
        <v>0</v>
      </c>
      <c r="X31" s="5">
        <f>'22.07.2026'!C33</f>
        <v>0</v>
      </c>
      <c r="Y31" s="5">
        <f>'23.07.2026'!C33</f>
        <v>9</v>
      </c>
      <c r="Z31" s="5">
        <f>'24.07.2026'!C33</f>
        <v>15</v>
      </c>
      <c r="AA31" s="7">
        <f>'25.07.2026'!C33</f>
        <v>0</v>
      </c>
      <c r="AB31" s="7"/>
      <c r="AC31" s="5">
        <f>'27.07.2026'!C33</f>
        <v>0</v>
      </c>
      <c r="AD31" s="5">
        <f>'28.07.2026'!C33</f>
        <v>4</v>
      </c>
      <c r="AE31" s="5">
        <f>'29.07.2026'!C33</f>
        <v>0</v>
      </c>
      <c r="AF31" s="5">
        <f>'30.07.2026'!C33</f>
        <v>3</v>
      </c>
      <c r="AG31" s="59">
        <f>'31.07.2026'!C33</f>
        <v>0</v>
      </c>
      <c r="AI31" s="22">
        <f t="shared" si="2"/>
        <v>59</v>
      </c>
    </row>
  </sheetData>
  <mergeCells count="3">
    <mergeCell ref="A1:AF1"/>
    <mergeCell ref="AI25:AI26"/>
    <mergeCell ref="AI12:AI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3563-B672-43B0-A11B-046BD99C68A0}">
  <sheetPr codeName="Sheet9"/>
  <dimension ref="A1:AI31"/>
  <sheetViews>
    <sheetView workbookViewId="0">
      <selection activeCell="AI25" sqref="AI25:AI26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'01.07.2026'!D5</f>
        <v>0</v>
      </c>
      <c r="D3" s="2">
        <f>'02.07.2026'!D5</f>
        <v>5</v>
      </c>
      <c r="E3" s="2">
        <f>'03.07.2026'!D5</f>
        <v>3</v>
      </c>
      <c r="F3" s="6">
        <f>'04.07.2026'!D5</f>
        <v>4</v>
      </c>
      <c r="G3" s="6"/>
      <c r="H3" s="2">
        <f>'06.07.2026'!D5</f>
        <v>6</v>
      </c>
      <c r="I3" s="2">
        <f>'07.07.2026'!D5</f>
        <v>4</v>
      </c>
      <c r="J3" s="2">
        <f>'08.07.2026'!D5</f>
        <v>6</v>
      </c>
      <c r="K3" s="2">
        <f>'09.07.2026'!D5</f>
        <v>0</v>
      </c>
      <c r="L3" s="2">
        <f>'10.07.2026'!D5</f>
        <v>0</v>
      </c>
      <c r="M3" s="6">
        <f>'11.07.2026'!D5</f>
        <v>0</v>
      </c>
      <c r="N3" s="6"/>
      <c r="O3" s="2">
        <f>'13.07.2026'!D5</f>
        <v>2</v>
      </c>
      <c r="P3" s="2">
        <f>'14.07.2026'!D5</f>
        <v>0</v>
      </c>
      <c r="Q3" s="2">
        <f>'15.07.2026'!D5</f>
        <v>2</v>
      </c>
      <c r="R3" s="2">
        <f>'16.07.2026'!D5</f>
        <v>4</v>
      </c>
      <c r="S3" s="2">
        <f>'17.07.2026'!D5</f>
        <v>2</v>
      </c>
      <c r="T3" s="6">
        <f>'18.07.2026'!D5</f>
        <v>0</v>
      </c>
      <c r="U3" s="6"/>
      <c r="V3" s="2">
        <f>'20.07.2026'!D5</f>
        <v>6</v>
      </c>
      <c r="W3" s="2">
        <f>'21.07.2026'!D5</f>
        <v>1</v>
      </c>
      <c r="X3" s="2">
        <f>'22.07.2026'!D5</f>
        <v>4</v>
      </c>
      <c r="Y3" s="2">
        <f>'23.07.2026'!D5</f>
        <v>3</v>
      </c>
      <c r="Z3" s="2">
        <f>'24.07.2026'!D5</f>
        <v>5</v>
      </c>
      <c r="AA3" s="6">
        <f>'25.07.2026'!D5</f>
        <v>0</v>
      </c>
      <c r="AB3" s="6"/>
      <c r="AC3" s="2">
        <f>'27.07.2026'!D5</f>
        <v>0</v>
      </c>
      <c r="AD3" s="2">
        <f>'28.07.2026'!D5</f>
        <v>2</v>
      </c>
      <c r="AE3" s="2">
        <f>'29.07.2026'!D5</f>
        <v>0</v>
      </c>
      <c r="AF3" s="2">
        <f>'30.07.2026'!D5</f>
        <v>0</v>
      </c>
      <c r="AG3" s="58">
        <f>'31.07.2026'!D5</f>
        <v>6</v>
      </c>
      <c r="AH3"/>
      <c r="AI3" s="22">
        <f t="shared" ref="AI3:AI11" si="0">SUM(C3:AF3)</f>
        <v>59</v>
      </c>
    </row>
    <row r="4" spans="1:35" ht="17.25" customHeight="1" x14ac:dyDescent="0.25">
      <c r="A4" s="4">
        <v>2</v>
      </c>
      <c r="B4" s="1" t="s">
        <v>5</v>
      </c>
      <c r="C4" s="2">
        <f>'01.07.2026'!D6</f>
        <v>0</v>
      </c>
      <c r="D4" s="2">
        <f>'02.07.2026'!D6</f>
        <v>0</v>
      </c>
      <c r="E4" s="2">
        <f>'03.07.2026'!D6</f>
        <v>0</v>
      </c>
      <c r="F4" s="6">
        <f>'04.07.2026'!D6</f>
        <v>0</v>
      </c>
      <c r="G4" s="6"/>
      <c r="H4" s="2">
        <f>'06.07.2026'!D6</f>
        <v>0</v>
      </c>
      <c r="I4" s="2">
        <f>'07.07.2026'!D6</f>
        <v>0</v>
      </c>
      <c r="J4" s="2">
        <f>'08.07.2026'!D6</f>
        <v>0</v>
      </c>
      <c r="K4" s="2">
        <f>'09.07.2026'!D6</f>
        <v>0</v>
      </c>
      <c r="L4" s="2">
        <f>'10.07.2026'!D6</f>
        <v>0</v>
      </c>
      <c r="M4" s="6">
        <f>'11.07.2026'!D6</f>
        <v>0</v>
      </c>
      <c r="N4" s="6"/>
      <c r="O4" s="2">
        <f>'13.07.2026'!D6</f>
        <v>0</v>
      </c>
      <c r="P4" s="2">
        <f>'14.07.2026'!D6</f>
        <v>0</v>
      </c>
      <c r="Q4" s="2">
        <f>'15.07.2026'!D6</f>
        <v>0</v>
      </c>
      <c r="R4" s="2">
        <f>'16.07.2026'!D6</f>
        <v>0</v>
      </c>
      <c r="S4" s="2">
        <f>'17.07.2026'!D6</f>
        <v>0</v>
      </c>
      <c r="T4" s="6">
        <f>'18.07.2026'!D6</f>
        <v>0</v>
      </c>
      <c r="U4" s="6"/>
      <c r="V4" s="2">
        <f>'20.07.2026'!D6</f>
        <v>0</v>
      </c>
      <c r="W4" s="2">
        <f>'21.07.2026'!D6</f>
        <v>0</v>
      </c>
      <c r="X4" s="2">
        <f>'22.07.2026'!D6</f>
        <v>0</v>
      </c>
      <c r="Y4" s="2">
        <f>'23.07.2026'!D6</f>
        <v>0</v>
      </c>
      <c r="Z4" s="2">
        <f>'24.07.2026'!D6</f>
        <v>0</v>
      </c>
      <c r="AA4" s="6">
        <f>'25.07.2026'!D6</f>
        <v>0</v>
      </c>
      <c r="AB4" s="6"/>
      <c r="AC4" s="2">
        <f>'27.07.2026'!D6</f>
        <v>0</v>
      </c>
      <c r="AD4" s="2">
        <f>'28.07.2026'!D6</f>
        <v>0</v>
      </c>
      <c r="AE4" s="2">
        <f>'29.07.2026'!D6</f>
        <v>0</v>
      </c>
      <c r="AF4" s="2">
        <f>'30.07.2026'!D6</f>
        <v>0</v>
      </c>
      <c r="AG4" s="58">
        <f>'31.07.2026'!D6</f>
        <v>0</v>
      </c>
      <c r="AH4"/>
      <c r="AI4" s="22">
        <f t="shared" si="0"/>
        <v>0</v>
      </c>
    </row>
    <row r="5" spans="1:35" ht="17.25" customHeight="1" x14ac:dyDescent="0.25">
      <c r="A5" s="4">
        <v>3</v>
      </c>
      <c r="B5" s="1" t="s">
        <v>6</v>
      </c>
      <c r="C5" s="2">
        <f>'01.07.2026'!D7</f>
        <v>0</v>
      </c>
      <c r="D5" s="2">
        <f>'02.07.2026'!D7</f>
        <v>0</v>
      </c>
      <c r="E5" s="2">
        <f>'03.07.2026'!D7</f>
        <v>0</v>
      </c>
      <c r="F5" s="6">
        <f>'04.07.2026'!D7</f>
        <v>0</v>
      </c>
      <c r="G5" s="6"/>
      <c r="H5" s="2">
        <f>'06.07.2026'!D7</f>
        <v>0</v>
      </c>
      <c r="I5" s="2">
        <f>'07.07.2026'!D7</f>
        <v>0</v>
      </c>
      <c r="J5" s="2">
        <f>'08.07.2026'!D7</f>
        <v>0</v>
      </c>
      <c r="K5" s="2">
        <f>'09.07.2026'!D7</f>
        <v>0</v>
      </c>
      <c r="L5" s="2">
        <f>'10.07.2026'!D7</f>
        <v>0</v>
      </c>
      <c r="M5" s="6">
        <f>'11.07.2026'!D7</f>
        <v>0</v>
      </c>
      <c r="N5" s="6"/>
      <c r="O5" s="2">
        <f>'13.07.2026'!D7</f>
        <v>0</v>
      </c>
      <c r="P5" s="2">
        <f>'14.07.2026'!D7</f>
        <v>0</v>
      </c>
      <c r="Q5" s="2">
        <f>'15.07.2026'!D7</f>
        <v>0</v>
      </c>
      <c r="R5" s="2">
        <f>'16.07.2026'!D7</f>
        <v>0</v>
      </c>
      <c r="S5" s="2">
        <f>'17.07.2026'!D7</f>
        <v>0</v>
      </c>
      <c r="T5" s="6">
        <f>'18.07.2026'!D7</f>
        <v>0</v>
      </c>
      <c r="U5" s="6"/>
      <c r="V5" s="2">
        <f>'20.07.2026'!D7</f>
        <v>0</v>
      </c>
      <c r="W5" s="2">
        <f>'21.07.2026'!D7</f>
        <v>0</v>
      </c>
      <c r="X5" s="2">
        <f>'22.07.2026'!D7</f>
        <v>0</v>
      </c>
      <c r="Y5" s="2">
        <f>'23.07.2026'!D7</f>
        <v>0</v>
      </c>
      <c r="Z5" s="2">
        <f>'24.07.2026'!D7</f>
        <v>0</v>
      </c>
      <c r="AA5" s="6">
        <f>'25.07.2026'!D7</f>
        <v>0</v>
      </c>
      <c r="AB5" s="6"/>
      <c r="AC5" s="2">
        <f>'27.07.2026'!D7</f>
        <v>0</v>
      </c>
      <c r="AD5" s="2">
        <f>'28.07.2026'!D7</f>
        <v>0</v>
      </c>
      <c r="AE5" s="2">
        <f>'29.07.2026'!D7</f>
        <v>0</v>
      </c>
      <c r="AF5" s="2">
        <f>'30.07.2026'!D7</f>
        <v>0</v>
      </c>
      <c r="AG5" s="58">
        <f>'31.07.2026'!D7</f>
        <v>0</v>
      </c>
      <c r="AH5"/>
      <c r="AI5" s="22">
        <f t="shared" si="0"/>
        <v>0</v>
      </c>
    </row>
    <row r="6" spans="1:35" ht="17.25" customHeight="1" x14ac:dyDescent="0.25">
      <c r="A6" s="4">
        <v>4</v>
      </c>
      <c r="B6" s="1" t="s">
        <v>7</v>
      </c>
      <c r="C6" s="2">
        <f>'01.07.2026'!D8</f>
        <v>0</v>
      </c>
      <c r="D6" s="2">
        <f>'02.07.2026'!D8</f>
        <v>0</v>
      </c>
      <c r="E6" s="2">
        <f>'03.07.2026'!D8</f>
        <v>0</v>
      </c>
      <c r="F6" s="6">
        <f>'04.07.2026'!D8</f>
        <v>0</v>
      </c>
      <c r="G6" s="6"/>
      <c r="H6" s="2">
        <f>'06.07.2026'!D8</f>
        <v>0</v>
      </c>
      <c r="I6" s="2">
        <f>'07.07.2026'!D8</f>
        <v>0</v>
      </c>
      <c r="J6" s="2">
        <f>'08.07.2026'!D8</f>
        <v>0</v>
      </c>
      <c r="K6" s="2">
        <f>'09.07.2026'!D8</f>
        <v>0</v>
      </c>
      <c r="L6" s="2">
        <f>'10.07.2026'!D8</f>
        <v>0</v>
      </c>
      <c r="M6" s="6">
        <f>'11.07.2026'!D8</f>
        <v>0</v>
      </c>
      <c r="N6" s="6"/>
      <c r="O6" s="2">
        <f>'13.07.2026'!D8</f>
        <v>0</v>
      </c>
      <c r="P6" s="2">
        <f>'14.07.2026'!D8</f>
        <v>0</v>
      </c>
      <c r="Q6" s="2">
        <f>'15.07.2026'!D8</f>
        <v>0</v>
      </c>
      <c r="R6" s="2">
        <f>'16.07.2026'!D8</f>
        <v>0</v>
      </c>
      <c r="S6" s="2">
        <f>'17.07.2026'!D8</f>
        <v>0</v>
      </c>
      <c r="T6" s="6">
        <f>'18.07.2026'!D8</f>
        <v>0</v>
      </c>
      <c r="U6" s="6"/>
      <c r="V6" s="2">
        <f>'20.07.2026'!D8</f>
        <v>0</v>
      </c>
      <c r="W6" s="2">
        <f>'21.07.2026'!D8</f>
        <v>0</v>
      </c>
      <c r="X6" s="2">
        <f>'22.07.2026'!D8</f>
        <v>0</v>
      </c>
      <c r="Y6" s="2">
        <f>'23.07.2026'!D8</f>
        <v>0</v>
      </c>
      <c r="Z6" s="2">
        <f>'24.07.2026'!D8</f>
        <v>0</v>
      </c>
      <c r="AA6" s="6">
        <f>'25.07.2026'!D8</f>
        <v>0</v>
      </c>
      <c r="AB6" s="6"/>
      <c r="AC6" s="2">
        <f>'27.07.2026'!D8</f>
        <v>0</v>
      </c>
      <c r="AD6" s="2">
        <f>'28.07.2026'!D8</f>
        <v>0</v>
      </c>
      <c r="AE6" s="2">
        <f>'29.07.2026'!D8</f>
        <v>0</v>
      </c>
      <c r="AF6" s="2">
        <f>'30.07.2026'!D8</f>
        <v>0</v>
      </c>
      <c r="AG6" s="58">
        <f>'31.07.2026'!D8</f>
        <v>0</v>
      </c>
      <c r="AH6"/>
      <c r="AI6" s="22">
        <f t="shared" si="0"/>
        <v>0</v>
      </c>
    </row>
    <row r="7" spans="1:35" ht="17.25" customHeight="1" x14ac:dyDescent="0.25">
      <c r="A7" s="4">
        <v>5</v>
      </c>
      <c r="B7" s="1" t="s">
        <v>8</v>
      </c>
      <c r="C7" s="2">
        <f>'01.07.2026'!D9</f>
        <v>0</v>
      </c>
      <c r="D7" s="2">
        <f>'02.07.2026'!D9</f>
        <v>0</v>
      </c>
      <c r="E7" s="2">
        <f>'03.07.2026'!D9</f>
        <v>0</v>
      </c>
      <c r="F7" s="6">
        <f>'04.07.2026'!D9</f>
        <v>0</v>
      </c>
      <c r="G7" s="6"/>
      <c r="H7" s="2">
        <f>'06.07.2026'!D9</f>
        <v>0</v>
      </c>
      <c r="I7" s="2">
        <f>'07.07.2026'!D9</f>
        <v>0</v>
      </c>
      <c r="J7" s="2">
        <f>'08.07.2026'!D9</f>
        <v>0</v>
      </c>
      <c r="K7" s="2">
        <f>'09.07.2026'!D9</f>
        <v>0</v>
      </c>
      <c r="L7" s="2">
        <f>'10.07.2026'!D9</f>
        <v>0</v>
      </c>
      <c r="M7" s="6">
        <f>'11.07.2026'!D9</f>
        <v>0</v>
      </c>
      <c r="N7" s="6"/>
      <c r="O7" s="2">
        <f>'13.07.2026'!D9</f>
        <v>1</v>
      </c>
      <c r="P7" s="2">
        <f>'14.07.2026'!D9</f>
        <v>0</v>
      </c>
      <c r="Q7" s="2">
        <f>'15.07.2026'!D9</f>
        <v>0</v>
      </c>
      <c r="R7" s="2">
        <f>'16.07.2026'!D9</f>
        <v>0</v>
      </c>
      <c r="S7" s="2">
        <f>'17.07.2026'!D9</f>
        <v>4</v>
      </c>
      <c r="T7" s="6">
        <f>'18.07.2026'!D9</f>
        <v>0</v>
      </c>
      <c r="U7" s="6"/>
      <c r="V7" s="2">
        <f>'20.07.2026'!D9</f>
        <v>0</v>
      </c>
      <c r="W7" s="2">
        <f>'21.07.2026'!D9</f>
        <v>3</v>
      </c>
      <c r="X7" s="2">
        <f>'22.07.2026'!D9</f>
        <v>0</v>
      </c>
      <c r="Y7" s="2">
        <f>'23.07.2026'!D9</f>
        <v>0</v>
      </c>
      <c r="Z7" s="2">
        <f>'24.07.2026'!D9</f>
        <v>0</v>
      </c>
      <c r="AA7" s="6">
        <f>'25.07.2026'!D9</f>
        <v>0</v>
      </c>
      <c r="AB7" s="6"/>
      <c r="AC7" s="2">
        <f>'27.07.2026'!D9</f>
        <v>0</v>
      </c>
      <c r="AD7" s="2">
        <f>'28.07.2026'!D9</f>
        <v>0</v>
      </c>
      <c r="AE7" s="2">
        <f>'29.07.2026'!D9</f>
        <v>0</v>
      </c>
      <c r="AF7" s="2">
        <f>'30.07.2026'!D9</f>
        <v>0</v>
      </c>
      <c r="AG7" s="58">
        <f>'31.07.2026'!D9</f>
        <v>0</v>
      </c>
      <c r="AH7"/>
      <c r="AI7" s="22">
        <f t="shared" si="0"/>
        <v>8</v>
      </c>
    </row>
    <row r="8" spans="1:35" ht="17.25" customHeight="1" x14ac:dyDescent="0.25">
      <c r="A8" s="4">
        <v>6</v>
      </c>
      <c r="B8" s="1" t="s">
        <v>9</v>
      </c>
      <c r="C8" s="2">
        <f>'01.07.2026'!D10</f>
        <v>0</v>
      </c>
      <c r="D8" s="2">
        <f>'02.07.2026'!D10</f>
        <v>0</v>
      </c>
      <c r="E8" s="2">
        <f>'03.07.2026'!D10</f>
        <v>0</v>
      </c>
      <c r="F8" s="6">
        <f>'04.07.2026'!D10</f>
        <v>0</v>
      </c>
      <c r="G8" s="6"/>
      <c r="H8" s="2">
        <f>'06.07.2026'!D10</f>
        <v>0</v>
      </c>
      <c r="I8" s="2">
        <f>'07.07.2026'!D10</f>
        <v>0</v>
      </c>
      <c r="J8" s="2">
        <f>'08.07.2026'!D10</f>
        <v>0</v>
      </c>
      <c r="K8" s="2">
        <f>'09.07.2026'!D10</f>
        <v>0</v>
      </c>
      <c r="L8" s="2">
        <f>'10.07.2026'!D10</f>
        <v>0</v>
      </c>
      <c r="M8" s="6">
        <f>'11.07.2026'!D10</f>
        <v>0</v>
      </c>
      <c r="N8" s="6"/>
      <c r="O8" s="2">
        <f>'13.07.2026'!D10</f>
        <v>0</v>
      </c>
      <c r="P8" s="2">
        <f>'14.07.2026'!D10</f>
        <v>0</v>
      </c>
      <c r="Q8" s="2">
        <f>'15.07.2026'!D10</f>
        <v>0</v>
      </c>
      <c r="R8" s="2">
        <f>'16.07.2026'!D10</f>
        <v>0</v>
      </c>
      <c r="S8" s="2">
        <f>'17.07.2026'!D10</f>
        <v>0</v>
      </c>
      <c r="T8" s="6">
        <f>'18.07.2026'!D10</f>
        <v>0</v>
      </c>
      <c r="U8" s="6"/>
      <c r="V8" s="2">
        <f>'20.07.2026'!D10</f>
        <v>0</v>
      </c>
      <c r="W8" s="2">
        <f>'21.07.2026'!D10</f>
        <v>0</v>
      </c>
      <c r="X8" s="2">
        <f>'22.07.2026'!D10</f>
        <v>0</v>
      </c>
      <c r="Y8" s="2">
        <f>'23.07.2026'!D10</f>
        <v>0</v>
      </c>
      <c r="Z8" s="2">
        <f>'24.07.2026'!D10</f>
        <v>0</v>
      </c>
      <c r="AA8" s="6">
        <f>'25.07.2026'!D10</f>
        <v>0</v>
      </c>
      <c r="AB8" s="6"/>
      <c r="AC8" s="2">
        <f>'27.07.2026'!D10</f>
        <v>0</v>
      </c>
      <c r="AD8" s="2">
        <f>'28.07.2026'!D10</f>
        <v>0</v>
      </c>
      <c r="AE8" s="2">
        <f>'29.07.2026'!D10</f>
        <v>0</v>
      </c>
      <c r="AF8" s="2">
        <f>'30.07.2026'!D10</f>
        <v>0</v>
      </c>
      <c r="AG8" s="58">
        <f>'31.07.2026'!D10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'01.07.2026'!D11</f>
        <v>0</v>
      </c>
      <c r="D9" s="2">
        <f>'02.07.2026'!D11</f>
        <v>0</v>
      </c>
      <c r="E9" s="2">
        <f>'03.07.2026'!D11</f>
        <v>0</v>
      </c>
      <c r="F9" s="6">
        <f>'04.07.2026'!D11</f>
        <v>0</v>
      </c>
      <c r="G9" s="6"/>
      <c r="H9" s="2">
        <f>'06.07.2026'!D11</f>
        <v>0</v>
      </c>
      <c r="I9" s="2">
        <f>'07.07.2026'!D11</f>
        <v>0</v>
      </c>
      <c r="J9" s="2">
        <f>'08.07.2026'!D11</f>
        <v>0</v>
      </c>
      <c r="K9" s="2">
        <f>'09.07.2026'!D11</f>
        <v>0</v>
      </c>
      <c r="L9" s="2">
        <f>'10.07.2026'!D11</f>
        <v>0</v>
      </c>
      <c r="M9" s="6">
        <f>'11.07.2026'!D11</f>
        <v>0</v>
      </c>
      <c r="N9" s="6"/>
      <c r="O9" s="2">
        <f>'13.07.2026'!D11</f>
        <v>0</v>
      </c>
      <c r="P9" s="2">
        <f>'14.07.2026'!D11</f>
        <v>0</v>
      </c>
      <c r="Q9" s="2">
        <f>'15.07.2026'!D11</f>
        <v>0</v>
      </c>
      <c r="R9" s="2">
        <f>'16.07.2026'!D11</f>
        <v>0</v>
      </c>
      <c r="S9" s="2">
        <f>'17.07.2026'!D11</f>
        <v>0</v>
      </c>
      <c r="T9" s="6">
        <f>'18.07.2026'!D11</f>
        <v>0</v>
      </c>
      <c r="U9" s="6"/>
      <c r="V9" s="2">
        <f>'20.07.2026'!D11</f>
        <v>0</v>
      </c>
      <c r="W9" s="2">
        <f>'21.07.2026'!D11</f>
        <v>0</v>
      </c>
      <c r="X9" s="2">
        <f>'22.07.2026'!D11</f>
        <v>0</v>
      </c>
      <c r="Y9" s="2">
        <f>'23.07.2026'!D11</f>
        <v>0</v>
      </c>
      <c r="Z9" s="2">
        <f>'24.07.2026'!D11</f>
        <v>0</v>
      </c>
      <c r="AA9" s="6">
        <f>'25.07.2026'!D11</f>
        <v>0</v>
      </c>
      <c r="AB9" s="6"/>
      <c r="AC9" s="2">
        <f>'27.07.2026'!D11</f>
        <v>0</v>
      </c>
      <c r="AD9" s="2">
        <f>'28.07.2026'!D11</f>
        <v>0</v>
      </c>
      <c r="AE9" s="2">
        <f>'29.07.2026'!D11</f>
        <v>0</v>
      </c>
      <c r="AF9" s="2">
        <f>'30.07.2026'!D11</f>
        <v>0</v>
      </c>
      <c r="AG9" s="58">
        <f>'31.07.2026'!D11</f>
        <v>0</v>
      </c>
      <c r="AH9"/>
      <c r="AI9" s="22">
        <f t="shared" si="0"/>
        <v>0</v>
      </c>
    </row>
    <row r="10" spans="1:35" ht="17.25" customHeight="1" x14ac:dyDescent="0.25">
      <c r="A10" s="4">
        <v>8</v>
      </c>
      <c r="B10" s="1" t="s">
        <v>11</v>
      </c>
      <c r="C10" s="2">
        <f>'01.07.2026'!D12</f>
        <v>2</v>
      </c>
      <c r="D10" s="2">
        <f>'02.07.2026'!D12</f>
        <v>0</v>
      </c>
      <c r="E10" s="2">
        <f>'03.07.2026'!D12</f>
        <v>0</v>
      </c>
      <c r="F10" s="6">
        <f>'04.07.2026'!D12</f>
        <v>0</v>
      </c>
      <c r="G10" s="6"/>
      <c r="H10" s="2">
        <f>'06.07.2026'!D12</f>
        <v>0</v>
      </c>
      <c r="I10" s="2">
        <f>'07.07.2026'!D12</f>
        <v>0</v>
      </c>
      <c r="J10" s="2">
        <f>'08.07.2026'!D12</f>
        <v>0</v>
      </c>
      <c r="K10" s="2">
        <f>'09.07.2026'!D12</f>
        <v>0</v>
      </c>
      <c r="L10" s="2">
        <f>'10.07.2026'!D12</f>
        <v>0</v>
      </c>
      <c r="M10" s="6">
        <f>'11.07.2026'!D12</f>
        <v>0</v>
      </c>
      <c r="N10" s="6"/>
      <c r="O10" s="2">
        <f>'13.07.2026'!D12</f>
        <v>0</v>
      </c>
      <c r="P10" s="2">
        <f>'14.07.2026'!D12</f>
        <v>0</v>
      </c>
      <c r="Q10" s="2">
        <f>'15.07.2026'!D12</f>
        <v>0</v>
      </c>
      <c r="R10" s="2">
        <f>'16.07.2026'!D12</f>
        <v>0</v>
      </c>
      <c r="S10" s="2">
        <f>'17.07.2026'!D12</f>
        <v>0</v>
      </c>
      <c r="T10" s="6">
        <f>'18.07.2026'!D12</f>
        <v>0</v>
      </c>
      <c r="U10" s="6"/>
      <c r="V10" s="2">
        <f>'20.07.2026'!D12</f>
        <v>0</v>
      </c>
      <c r="W10" s="2">
        <f>'21.07.2026'!D12</f>
        <v>0</v>
      </c>
      <c r="X10" s="2">
        <f>'22.07.2026'!D12</f>
        <v>2</v>
      </c>
      <c r="Y10" s="2">
        <f>'23.07.2026'!D12</f>
        <v>1</v>
      </c>
      <c r="Z10" s="2">
        <f>'24.07.2026'!D12</f>
        <v>0</v>
      </c>
      <c r="AA10" s="6">
        <f>'25.07.2026'!D12</f>
        <v>0</v>
      </c>
      <c r="AB10" s="6"/>
      <c r="AC10" s="2">
        <f>'27.07.2026'!D12</f>
        <v>0</v>
      </c>
      <c r="AD10" s="2">
        <f>'28.07.2026'!D12</f>
        <v>0</v>
      </c>
      <c r="AE10" s="2">
        <f>'29.07.2026'!D12</f>
        <v>0</v>
      </c>
      <c r="AF10" s="2">
        <f>'30.07.2026'!D12</f>
        <v>0</v>
      </c>
      <c r="AG10" s="58">
        <f>'31.07.2026'!D12</f>
        <v>0</v>
      </c>
      <c r="AH10"/>
      <c r="AI10" s="22">
        <f t="shared" si="0"/>
        <v>5</v>
      </c>
    </row>
    <row r="11" spans="1:35" ht="17.25" customHeight="1" thickBot="1" x14ac:dyDescent="0.3">
      <c r="A11" s="13">
        <v>9</v>
      </c>
      <c r="B11" s="10" t="s">
        <v>12</v>
      </c>
      <c r="C11" s="5">
        <f>'01.07.2026'!D13</f>
        <v>0</v>
      </c>
      <c r="D11" s="5">
        <f>'02.07.2026'!D13</f>
        <v>0</v>
      </c>
      <c r="E11" s="5">
        <f>'03.07.2026'!D13</f>
        <v>0</v>
      </c>
      <c r="F11" s="7">
        <f>'04.07.2026'!D13</f>
        <v>0</v>
      </c>
      <c r="G11" s="7"/>
      <c r="H11" s="5">
        <f>'06.07.2026'!D13</f>
        <v>0</v>
      </c>
      <c r="I11" s="5">
        <f>'07.07.2026'!D13</f>
        <v>0</v>
      </c>
      <c r="J11" s="5">
        <f>'08.07.2026'!D13</f>
        <v>0</v>
      </c>
      <c r="K11" s="5">
        <f>'09.07.2026'!D13</f>
        <v>0</v>
      </c>
      <c r="L11" s="5">
        <f>'10.07.2026'!D13</f>
        <v>0</v>
      </c>
      <c r="M11" s="7">
        <f>'11.07.2026'!D13</f>
        <v>0</v>
      </c>
      <c r="N11" s="7"/>
      <c r="O11" s="5">
        <f>'13.07.2026'!D13</f>
        <v>0</v>
      </c>
      <c r="P11" s="5">
        <f>'14.07.2026'!D13</f>
        <v>0</v>
      </c>
      <c r="Q11" s="5">
        <f>'15.07.2026'!D13</f>
        <v>0</v>
      </c>
      <c r="R11" s="5">
        <f>'16.07.2026'!D13</f>
        <v>0</v>
      </c>
      <c r="S11" s="5">
        <f>'17.07.2026'!D13</f>
        <v>0</v>
      </c>
      <c r="T11" s="7">
        <f>'18.07.2026'!D13</f>
        <v>0</v>
      </c>
      <c r="U11" s="7"/>
      <c r="V11" s="5">
        <f>'20.07.2026'!D13</f>
        <v>0</v>
      </c>
      <c r="W11" s="5">
        <f>'21.07.2026'!D13</f>
        <v>0</v>
      </c>
      <c r="X11" s="5">
        <f>'22.07.2026'!D13</f>
        <v>0</v>
      </c>
      <c r="Y11" s="5">
        <f>'23.07.2026'!D13</f>
        <v>0</v>
      </c>
      <c r="Z11" s="5">
        <f>'24.07.2026'!D13</f>
        <v>0</v>
      </c>
      <c r="AA11" s="7">
        <f>'25.07.2026'!D13</f>
        <v>0</v>
      </c>
      <c r="AB11" s="7"/>
      <c r="AC11" s="5">
        <f>'27.07.2026'!D13</f>
        <v>0</v>
      </c>
      <c r="AD11" s="5">
        <f>'28.07.2026'!D13</f>
        <v>0</v>
      </c>
      <c r="AE11" s="5">
        <f>'29.07.2026'!D13</f>
        <v>0</v>
      </c>
      <c r="AF11" s="5">
        <f>'30.07.2026'!D13</f>
        <v>0</v>
      </c>
      <c r="AG11" s="59">
        <f>'31.07.2026'!D13</f>
        <v>0</v>
      </c>
      <c r="AH11"/>
      <c r="AI11" s="22">
        <f t="shared" si="0"/>
        <v>0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79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'01.07.2026'!D16</f>
        <v>1</v>
      </c>
      <c r="D14" s="2">
        <f>'02.07.2026'!D16</f>
        <v>6</v>
      </c>
      <c r="E14" s="2">
        <f>'03.07.2026'!D16</f>
        <v>8</v>
      </c>
      <c r="F14" s="6">
        <f>'04.07.2026'!D16</f>
        <v>6</v>
      </c>
      <c r="G14" s="6"/>
      <c r="H14" s="2">
        <f>'06.07.2026'!D16</f>
        <v>6</v>
      </c>
      <c r="I14" s="2">
        <f>'07.07.2026'!D16</f>
        <v>11</v>
      </c>
      <c r="J14" s="2">
        <f>'08.07.2026'!D16</f>
        <v>10</v>
      </c>
      <c r="K14" s="2">
        <f>'09.07.2026'!D16</f>
        <v>15</v>
      </c>
      <c r="L14" s="2">
        <f>'10.07.2026'!D16</f>
        <v>15</v>
      </c>
      <c r="M14" s="6">
        <f>'11.07.2026'!D16</f>
        <v>0</v>
      </c>
      <c r="N14" s="6"/>
      <c r="O14" s="2">
        <f>'13.07.2026'!D16</f>
        <v>9</v>
      </c>
      <c r="P14" s="2">
        <f>'14.07.2026'!D16</f>
        <v>16</v>
      </c>
      <c r="Q14" s="2">
        <f>'15.07.2026'!D16</f>
        <v>14</v>
      </c>
      <c r="R14" s="2">
        <f>'16.07.2026'!D16</f>
        <v>11</v>
      </c>
      <c r="S14" s="2">
        <f>'17.07.2026'!D16</f>
        <v>1</v>
      </c>
      <c r="T14" s="6">
        <f>'18.07.2026'!D16</f>
        <v>0</v>
      </c>
      <c r="U14" s="6"/>
      <c r="V14" s="2">
        <f>'20.07.2026'!D16</f>
        <v>8</v>
      </c>
      <c r="W14" s="2">
        <f>'21.07.2026'!D16</f>
        <v>7</v>
      </c>
      <c r="X14" s="2">
        <f>'22.07.2026'!D16</f>
        <v>4</v>
      </c>
      <c r="Y14" s="2">
        <f>'23.07.2026'!D16</f>
        <v>9</v>
      </c>
      <c r="Z14" s="2">
        <f>'24.07.2026'!D16</f>
        <v>2</v>
      </c>
      <c r="AA14" s="6">
        <f>'25.07.2026'!D16</f>
        <v>0</v>
      </c>
      <c r="AB14" s="6"/>
      <c r="AC14" s="2">
        <f>'27.07.2026'!D16</f>
        <v>7</v>
      </c>
      <c r="AD14" s="2">
        <f>'28.07.2026'!D16</f>
        <v>8</v>
      </c>
      <c r="AE14" s="2">
        <f>'29.07.2026'!D16</f>
        <v>0</v>
      </c>
      <c r="AF14" s="2">
        <f>'30.07.2026'!D16</f>
        <v>5</v>
      </c>
      <c r="AG14" s="58">
        <f>'31.07.2026'!D16</f>
        <v>7</v>
      </c>
      <c r="AH14"/>
      <c r="AI14" s="22">
        <f t="shared" ref="AI14:AI24" si="1">SUM(C14:AF14)</f>
        <v>179</v>
      </c>
    </row>
    <row r="15" spans="1:35" ht="17.25" customHeight="1" x14ac:dyDescent="0.25">
      <c r="A15" s="4">
        <v>2</v>
      </c>
      <c r="B15" s="1" t="s">
        <v>15</v>
      </c>
      <c r="C15" s="2">
        <f>'01.07.2026'!D17</f>
        <v>0</v>
      </c>
      <c r="D15" s="2">
        <f>'02.07.2026'!D17</f>
        <v>0</v>
      </c>
      <c r="E15" s="2">
        <f>'03.07.2026'!D17</f>
        <v>0</v>
      </c>
      <c r="F15" s="6">
        <f>'04.07.2026'!D17</f>
        <v>0</v>
      </c>
      <c r="G15" s="6"/>
      <c r="H15" s="2">
        <f>'06.07.2026'!D17</f>
        <v>0</v>
      </c>
      <c r="I15" s="2">
        <f>'07.07.2026'!D17</f>
        <v>0</v>
      </c>
      <c r="J15" s="2">
        <f>'08.07.2026'!D17</f>
        <v>0</v>
      </c>
      <c r="K15" s="2">
        <f>'09.07.2026'!D17</f>
        <v>0</v>
      </c>
      <c r="L15" s="2">
        <f>'10.07.2026'!D17</f>
        <v>0</v>
      </c>
      <c r="M15" s="6">
        <f>'11.07.2026'!D17</f>
        <v>0</v>
      </c>
      <c r="N15" s="6"/>
      <c r="O15" s="2">
        <f>'13.07.2026'!D17</f>
        <v>0</v>
      </c>
      <c r="P15" s="2">
        <f>'14.07.2026'!D17</f>
        <v>0</v>
      </c>
      <c r="Q15" s="2">
        <f>'15.07.2026'!D17</f>
        <v>0</v>
      </c>
      <c r="R15" s="2">
        <f>'16.07.2026'!D17</f>
        <v>0</v>
      </c>
      <c r="S15" s="2">
        <f>'17.07.2026'!D17</f>
        <v>0</v>
      </c>
      <c r="T15" s="6">
        <f>'18.07.2026'!D17</f>
        <v>0</v>
      </c>
      <c r="U15" s="6"/>
      <c r="V15" s="2">
        <f>'20.07.2026'!D17</f>
        <v>0</v>
      </c>
      <c r="W15" s="2">
        <f>'21.07.2026'!D17</f>
        <v>0</v>
      </c>
      <c r="X15" s="2">
        <f>'22.07.2026'!D17</f>
        <v>0</v>
      </c>
      <c r="Y15" s="2">
        <f>'23.07.2026'!D17</f>
        <v>0</v>
      </c>
      <c r="Z15" s="2">
        <f>'24.07.2026'!D17</f>
        <v>0</v>
      </c>
      <c r="AA15" s="6">
        <f>'25.07.2026'!D17</f>
        <v>0</v>
      </c>
      <c r="AB15" s="6"/>
      <c r="AC15" s="2">
        <f>'27.07.2026'!D17</f>
        <v>0</v>
      </c>
      <c r="AD15" s="2">
        <f>'28.07.2026'!D17</f>
        <v>0</v>
      </c>
      <c r="AE15" s="2">
        <f>'29.07.2026'!D17</f>
        <v>0</v>
      </c>
      <c r="AF15" s="2">
        <f>'30.07.2026'!D17</f>
        <v>0</v>
      </c>
      <c r="AG15" s="58">
        <f>'31.07.2026'!D17</f>
        <v>0</v>
      </c>
      <c r="AH15"/>
      <c r="AI15" s="22">
        <f t="shared" si="1"/>
        <v>0</v>
      </c>
    </row>
    <row r="16" spans="1:35" ht="17.25" customHeight="1" x14ac:dyDescent="0.25">
      <c r="A16" s="4">
        <v>3</v>
      </c>
      <c r="B16" s="1" t="s">
        <v>16</v>
      </c>
      <c r="C16" s="2">
        <f>'01.07.2026'!D18</f>
        <v>0</v>
      </c>
      <c r="D16" s="2">
        <f>'02.07.2026'!D18</f>
        <v>0</v>
      </c>
      <c r="E16" s="2">
        <f>'03.07.2026'!D18</f>
        <v>0</v>
      </c>
      <c r="F16" s="6">
        <f>'04.07.2026'!D18</f>
        <v>0</v>
      </c>
      <c r="G16" s="6"/>
      <c r="H16" s="2">
        <f>'06.07.2026'!D18</f>
        <v>0</v>
      </c>
      <c r="I16" s="2">
        <f>'07.07.2026'!D18</f>
        <v>0</v>
      </c>
      <c r="J16" s="2">
        <f>'08.07.2026'!D18</f>
        <v>0</v>
      </c>
      <c r="K16" s="2">
        <f>'09.07.2026'!D18</f>
        <v>0</v>
      </c>
      <c r="L16" s="2">
        <f>'10.07.2026'!D18</f>
        <v>0</v>
      </c>
      <c r="M16" s="6">
        <f>'11.07.2026'!D18</f>
        <v>0</v>
      </c>
      <c r="N16" s="6"/>
      <c r="O16" s="2">
        <f>'13.07.2026'!D18</f>
        <v>0</v>
      </c>
      <c r="P16" s="2">
        <f>'14.07.2026'!D18</f>
        <v>0</v>
      </c>
      <c r="Q16" s="2">
        <f>'15.07.2026'!D18</f>
        <v>0</v>
      </c>
      <c r="R16" s="2">
        <f>'16.07.2026'!D18</f>
        <v>0</v>
      </c>
      <c r="S16" s="2">
        <f>'17.07.2026'!D18</f>
        <v>0</v>
      </c>
      <c r="T16" s="6">
        <f>'18.07.2026'!D18</f>
        <v>0</v>
      </c>
      <c r="U16" s="6"/>
      <c r="V16" s="2">
        <f>'20.07.2026'!D18</f>
        <v>0</v>
      </c>
      <c r="W16" s="2">
        <f>'21.07.2026'!D18</f>
        <v>0</v>
      </c>
      <c r="X16" s="2">
        <f>'22.07.2026'!D18</f>
        <v>0</v>
      </c>
      <c r="Y16" s="2">
        <f>'23.07.2026'!D18</f>
        <v>0</v>
      </c>
      <c r="Z16" s="2">
        <f>'24.07.2026'!D18</f>
        <v>1</v>
      </c>
      <c r="AA16" s="6">
        <f>'25.07.2026'!D18</f>
        <v>0</v>
      </c>
      <c r="AB16" s="6"/>
      <c r="AC16" s="2">
        <f>'27.07.2026'!D18</f>
        <v>0</v>
      </c>
      <c r="AD16" s="2">
        <f>'28.07.2026'!D18</f>
        <v>0</v>
      </c>
      <c r="AE16" s="2">
        <f>'29.07.2026'!D18</f>
        <v>1</v>
      </c>
      <c r="AF16" s="2">
        <f>'30.07.2026'!D18</f>
        <v>2</v>
      </c>
      <c r="AG16" s="58">
        <f>'31.07.2026'!D18</f>
        <v>0</v>
      </c>
      <c r="AH16"/>
      <c r="AI16" s="22">
        <f t="shared" si="1"/>
        <v>4</v>
      </c>
    </row>
    <row r="17" spans="1:35" ht="17.25" customHeight="1" x14ac:dyDescent="0.25">
      <c r="A17" s="4">
        <v>4</v>
      </c>
      <c r="B17" s="1" t="s">
        <v>17</v>
      </c>
      <c r="C17" s="2">
        <f>'01.07.2026'!D19</f>
        <v>1</v>
      </c>
      <c r="D17" s="2">
        <f>'02.07.2026'!D19</f>
        <v>1</v>
      </c>
      <c r="E17" s="2">
        <f>'03.07.2026'!D19</f>
        <v>0</v>
      </c>
      <c r="F17" s="6">
        <f>'04.07.2026'!D19</f>
        <v>0</v>
      </c>
      <c r="G17" s="6"/>
      <c r="H17" s="2">
        <f>'06.07.2026'!D19</f>
        <v>0</v>
      </c>
      <c r="I17" s="2">
        <f>'07.07.2026'!D19</f>
        <v>0</v>
      </c>
      <c r="J17" s="2">
        <f>'08.07.2026'!D19</f>
        <v>0</v>
      </c>
      <c r="K17" s="2">
        <f>'09.07.2026'!D19</f>
        <v>1</v>
      </c>
      <c r="L17" s="2">
        <f>'10.07.2026'!D19</f>
        <v>1</v>
      </c>
      <c r="M17" s="6">
        <f>'11.07.2026'!D19</f>
        <v>0</v>
      </c>
      <c r="N17" s="6"/>
      <c r="O17" s="2">
        <f>'13.07.2026'!D19</f>
        <v>1</v>
      </c>
      <c r="P17" s="2">
        <f>'14.07.2026'!D19</f>
        <v>0</v>
      </c>
      <c r="Q17" s="2">
        <f>'15.07.2026'!D19</f>
        <v>0</v>
      </c>
      <c r="R17" s="2">
        <f>'16.07.2026'!D19</f>
        <v>0</v>
      </c>
      <c r="S17" s="2">
        <f>'17.07.2026'!D19</f>
        <v>1</v>
      </c>
      <c r="T17" s="6">
        <f>'18.07.2026'!D19</f>
        <v>0</v>
      </c>
      <c r="U17" s="6"/>
      <c r="V17" s="2">
        <f>'20.07.2026'!D19</f>
        <v>0</v>
      </c>
      <c r="W17" s="2">
        <f>'21.07.2026'!D19</f>
        <v>0</v>
      </c>
      <c r="X17" s="2">
        <f>'22.07.2026'!D19</f>
        <v>1</v>
      </c>
      <c r="Y17" s="2">
        <f>'23.07.2026'!D19</f>
        <v>0</v>
      </c>
      <c r="Z17" s="2">
        <f>'24.07.2026'!D19</f>
        <v>0</v>
      </c>
      <c r="AA17" s="6">
        <f>'25.07.2026'!D19</f>
        <v>0</v>
      </c>
      <c r="AB17" s="6"/>
      <c r="AC17" s="2">
        <f>'27.07.2026'!D19</f>
        <v>0</v>
      </c>
      <c r="AD17" s="2">
        <f>'28.07.2026'!D19</f>
        <v>0</v>
      </c>
      <c r="AE17" s="2">
        <f>'29.07.2026'!D19</f>
        <v>0</v>
      </c>
      <c r="AF17" s="2">
        <f>'30.07.2026'!D19</f>
        <v>0</v>
      </c>
      <c r="AG17" s="58">
        <f>'31.07.2026'!D19</f>
        <v>0</v>
      </c>
      <c r="AH17"/>
      <c r="AI17" s="22">
        <f t="shared" si="1"/>
        <v>7</v>
      </c>
    </row>
    <row r="18" spans="1:35" ht="17.25" customHeight="1" x14ac:dyDescent="0.25">
      <c r="A18" s="4">
        <v>5</v>
      </c>
      <c r="B18" s="1" t="s">
        <v>10</v>
      </c>
      <c r="C18" s="2">
        <f>'01.07.2026'!D20</f>
        <v>0</v>
      </c>
      <c r="D18" s="2">
        <f>'02.07.2026'!D20</f>
        <v>0</v>
      </c>
      <c r="E18" s="2">
        <f>'03.07.2026'!D20</f>
        <v>0</v>
      </c>
      <c r="F18" s="6">
        <f>'04.07.2026'!D20</f>
        <v>0</v>
      </c>
      <c r="G18" s="6"/>
      <c r="H18" s="2">
        <f>'06.07.2026'!D20</f>
        <v>0</v>
      </c>
      <c r="I18" s="2">
        <f>'07.07.2026'!D20</f>
        <v>0</v>
      </c>
      <c r="J18" s="2">
        <f>'08.07.2026'!D20</f>
        <v>0</v>
      </c>
      <c r="K18" s="2">
        <f>'09.07.2026'!D20</f>
        <v>0</v>
      </c>
      <c r="L18" s="2">
        <f>'10.07.2026'!D20</f>
        <v>0</v>
      </c>
      <c r="M18" s="6">
        <f>'11.07.2026'!D20</f>
        <v>0</v>
      </c>
      <c r="N18" s="6"/>
      <c r="O18" s="2">
        <f>'13.07.2026'!D20</f>
        <v>1</v>
      </c>
      <c r="P18" s="2">
        <f>'14.07.2026'!D20</f>
        <v>0</v>
      </c>
      <c r="Q18" s="2">
        <f>'15.07.2026'!D20</f>
        <v>0</v>
      </c>
      <c r="R18" s="2">
        <f>'16.07.2026'!D20</f>
        <v>0</v>
      </c>
      <c r="S18" s="2">
        <f>'17.07.2026'!D20</f>
        <v>0</v>
      </c>
      <c r="T18" s="6">
        <f>'18.07.2026'!D20</f>
        <v>0</v>
      </c>
      <c r="U18" s="6"/>
      <c r="V18" s="2">
        <f>'20.07.2026'!D20</f>
        <v>0</v>
      </c>
      <c r="W18" s="2">
        <f>'21.07.2026'!D20</f>
        <v>0</v>
      </c>
      <c r="X18" s="2">
        <f>'22.07.2026'!D20</f>
        <v>0</v>
      </c>
      <c r="Y18" s="2">
        <f>'23.07.2026'!D20</f>
        <v>0</v>
      </c>
      <c r="Z18" s="2">
        <f>'24.07.2026'!D20</f>
        <v>0</v>
      </c>
      <c r="AA18" s="6">
        <f>'25.07.2026'!D20</f>
        <v>0</v>
      </c>
      <c r="AB18" s="6"/>
      <c r="AC18" s="2">
        <f>'27.07.2026'!D20</f>
        <v>0</v>
      </c>
      <c r="AD18" s="2">
        <f>'28.07.2026'!D20</f>
        <v>0</v>
      </c>
      <c r="AE18" s="2">
        <f>'29.07.2026'!D20</f>
        <v>0</v>
      </c>
      <c r="AF18" s="2">
        <f>'30.07.2026'!D20</f>
        <v>0</v>
      </c>
      <c r="AG18" s="58">
        <f>'31.07.2026'!D20</f>
        <v>0</v>
      </c>
      <c r="AH18"/>
      <c r="AI18" s="22">
        <f t="shared" si="1"/>
        <v>1</v>
      </c>
    </row>
    <row r="19" spans="1:35" ht="17.25" customHeight="1" x14ac:dyDescent="0.25">
      <c r="A19" s="4">
        <v>6</v>
      </c>
      <c r="B19" s="1" t="s">
        <v>18</v>
      </c>
      <c r="C19" s="2">
        <f>'01.07.2026'!D21</f>
        <v>0</v>
      </c>
      <c r="D19" s="2">
        <f>'02.07.2026'!D21</f>
        <v>0</v>
      </c>
      <c r="E19" s="2">
        <f>'03.07.2026'!D21</f>
        <v>0</v>
      </c>
      <c r="F19" s="6">
        <f>'04.07.2026'!D21</f>
        <v>0</v>
      </c>
      <c r="G19" s="6"/>
      <c r="H19" s="2">
        <f>'06.07.2026'!D21</f>
        <v>0</v>
      </c>
      <c r="I19" s="2">
        <f>'07.07.2026'!D21</f>
        <v>0</v>
      </c>
      <c r="J19" s="2">
        <f>'08.07.2026'!D21</f>
        <v>0</v>
      </c>
      <c r="K19" s="2">
        <f>'09.07.2026'!D21</f>
        <v>0</v>
      </c>
      <c r="L19" s="2">
        <f>'10.07.2026'!D21</f>
        <v>0</v>
      </c>
      <c r="M19" s="6">
        <f>'11.07.2026'!D21</f>
        <v>0</v>
      </c>
      <c r="N19" s="6"/>
      <c r="O19" s="2">
        <f>'13.07.2026'!D21</f>
        <v>0</v>
      </c>
      <c r="P19" s="2">
        <f>'14.07.2026'!D21</f>
        <v>0</v>
      </c>
      <c r="Q19" s="2">
        <f>'15.07.2026'!D21</f>
        <v>0</v>
      </c>
      <c r="R19" s="2">
        <f>'16.07.2026'!D21</f>
        <v>0</v>
      </c>
      <c r="S19" s="2">
        <f>'17.07.2026'!D21</f>
        <v>0</v>
      </c>
      <c r="T19" s="6">
        <f>'18.07.2026'!D21</f>
        <v>0</v>
      </c>
      <c r="U19" s="6"/>
      <c r="V19" s="2">
        <f>'20.07.2026'!D21</f>
        <v>0</v>
      </c>
      <c r="W19" s="2">
        <f>'21.07.2026'!D21</f>
        <v>0</v>
      </c>
      <c r="X19" s="2">
        <f>'22.07.2026'!D21</f>
        <v>0</v>
      </c>
      <c r="Y19" s="2">
        <f>'23.07.2026'!D21</f>
        <v>0</v>
      </c>
      <c r="Z19" s="2">
        <f>'24.07.2026'!D21</f>
        <v>0</v>
      </c>
      <c r="AA19" s="6">
        <f>'25.07.2026'!D21</f>
        <v>0</v>
      </c>
      <c r="AB19" s="6"/>
      <c r="AC19" s="2">
        <f>'27.07.2026'!D21</f>
        <v>0</v>
      </c>
      <c r="AD19" s="2">
        <f>'28.07.2026'!D21</f>
        <v>0</v>
      </c>
      <c r="AE19" s="2">
        <f>'29.07.2026'!D21</f>
        <v>4</v>
      </c>
      <c r="AF19" s="2">
        <f>'30.07.2026'!D21</f>
        <v>0</v>
      </c>
      <c r="AG19" s="58">
        <f>'31.07.2026'!D21</f>
        <v>0</v>
      </c>
      <c r="AH19"/>
      <c r="AI19" s="22">
        <f t="shared" si="1"/>
        <v>4</v>
      </c>
    </row>
    <row r="20" spans="1:35" ht="17.25" customHeight="1" x14ac:dyDescent="0.25">
      <c r="A20" s="4">
        <v>7</v>
      </c>
      <c r="B20" s="17" t="s">
        <v>19</v>
      </c>
      <c r="C20" s="2">
        <f>'01.07.2026'!D22</f>
        <v>0</v>
      </c>
      <c r="D20" s="2">
        <f>'02.07.2026'!D22</f>
        <v>0</v>
      </c>
      <c r="E20" s="2">
        <f>'03.07.2026'!D22</f>
        <v>0</v>
      </c>
      <c r="F20" s="6">
        <f>'04.07.2026'!D22</f>
        <v>0</v>
      </c>
      <c r="G20" s="63"/>
      <c r="H20" s="2">
        <f>'06.07.2026'!D22</f>
        <v>0</v>
      </c>
      <c r="I20" s="2">
        <f>'07.07.2026'!D22</f>
        <v>0</v>
      </c>
      <c r="J20" s="2">
        <f>'08.07.2026'!D22</f>
        <v>0</v>
      </c>
      <c r="K20" s="2">
        <f>'09.07.2026'!D22</f>
        <v>0</v>
      </c>
      <c r="L20" s="2">
        <f>'10.07.2026'!D22</f>
        <v>0</v>
      </c>
      <c r="M20" s="6">
        <f>'11.07.2026'!D22</f>
        <v>0</v>
      </c>
      <c r="N20" s="63"/>
      <c r="O20" s="2">
        <f>'13.07.2026'!D22</f>
        <v>0</v>
      </c>
      <c r="P20" s="2">
        <f>'14.07.2026'!D22</f>
        <v>0</v>
      </c>
      <c r="Q20" s="2">
        <f>'15.07.2026'!D22</f>
        <v>0</v>
      </c>
      <c r="R20" s="2">
        <f>'16.07.2026'!D22</f>
        <v>0</v>
      </c>
      <c r="S20" s="2">
        <f>'17.07.2026'!D22</f>
        <v>0</v>
      </c>
      <c r="T20" s="6">
        <f>'18.07.2026'!D22</f>
        <v>0</v>
      </c>
      <c r="U20" s="6"/>
      <c r="V20" s="2">
        <f>'20.07.2026'!D22</f>
        <v>0</v>
      </c>
      <c r="W20" s="2">
        <f>'21.07.2026'!D22</f>
        <v>0</v>
      </c>
      <c r="X20" s="2">
        <f>'22.07.2026'!D22</f>
        <v>0</v>
      </c>
      <c r="Y20" s="2">
        <f>'23.07.2026'!D22</f>
        <v>0</v>
      </c>
      <c r="Z20" s="2">
        <f>'24.07.2026'!D22</f>
        <v>0</v>
      </c>
      <c r="AA20" s="6">
        <f>'25.07.2026'!D22</f>
        <v>0</v>
      </c>
      <c r="AB20" s="6"/>
      <c r="AC20" s="2">
        <f>'27.07.2026'!D22</f>
        <v>0</v>
      </c>
      <c r="AD20" s="2">
        <f>'28.07.2026'!D22</f>
        <v>0</v>
      </c>
      <c r="AE20" s="2">
        <f>'29.07.2026'!D22</f>
        <v>2</v>
      </c>
      <c r="AF20" s="2">
        <f>'30.07.2026'!D22</f>
        <v>0</v>
      </c>
      <c r="AG20" s="58">
        <f>'31.07.2026'!D22</f>
        <v>0</v>
      </c>
      <c r="AH20"/>
      <c r="AI20" s="22">
        <f t="shared" si="1"/>
        <v>2</v>
      </c>
    </row>
    <row r="21" spans="1:35" ht="17.25" customHeight="1" x14ac:dyDescent="0.25">
      <c r="A21" s="4">
        <v>8</v>
      </c>
      <c r="B21" s="1" t="s">
        <v>20</v>
      </c>
      <c r="C21" s="2">
        <f>'01.07.2026'!D23</f>
        <v>0</v>
      </c>
      <c r="D21" s="2">
        <f>'02.07.2026'!D23</f>
        <v>0</v>
      </c>
      <c r="E21" s="2">
        <f>'03.07.2026'!D23</f>
        <v>0</v>
      </c>
      <c r="F21" s="6">
        <f>'04.07.2026'!D23</f>
        <v>0</v>
      </c>
      <c r="G21" s="6"/>
      <c r="H21" s="2">
        <f>'06.07.2026'!D23</f>
        <v>0</v>
      </c>
      <c r="I21" s="2">
        <f>'07.07.2026'!D23</f>
        <v>0</v>
      </c>
      <c r="J21" s="2">
        <f>'08.07.2026'!D23</f>
        <v>0</v>
      </c>
      <c r="K21" s="2">
        <f>'09.07.2026'!D23</f>
        <v>0</v>
      </c>
      <c r="L21" s="2">
        <f>'10.07.2026'!D23</f>
        <v>0</v>
      </c>
      <c r="M21" s="6">
        <f>'11.07.2026'!D23</f>
        <v>0</v>
      </c>
      <c r="N21" s="6"/>
      <c r="O21" s="2">
        <f>'13.07.2026'!D23</f>
        <v>0</v>
      </c>
      <c r="P21" s="2">
        <f>'14.07.2026'!D23</f>
        <v>0</v>
      </c>
      <c r="Q21" s="2">
        <f>'15.07.2026'!D23</f>
        <v>0</v>
      </c>
      <c r="R21" s="2">
        <f>'16.07.2026'!D23</f>
        <v>0</v>
      </c>
      <c r="S21" s="2">
        <f>'17.07.2026'!D23</f>
        <v>0</v>
      </c>
      <c r="T21" s="6">
        <f>'18.07.2026'!D23</f>
        <v>0</v>
      </c>
      <c r="U21" s="6"/>
      <c r="V21" s="2">
        <f>'20.07.2026'!D23</f>
        <v>0</v>
      </c>
      <c r="W21" s="2">
        <f>'21.07.2026'!D23</f>
        <v>0</v>
      </c>
      <c r="X21" s="2">
        <f>'22.07.2026'!D23</f>
        <v>0</v>
      </c>
      <c r="Y21" s="2">
        <f>'23.07.2026'!D23</f>
        <v>0</v>
      </c>
      <c r="Z21" s="2">
        <f>'24.07.2026'!D23</f>
        <v>0</v>
      </c>
      <c r="AA21" s="6">
        <f>'25.07.2026'!D23</f>
        <v>0</v>
      </c>
      <c r="AB21" s="6"/>
      <c r="AC21" s="2">
        <f>'27.07.2026'!D23</f>
        <v>0</v>
      </c>
      <c r="AD21" s="2">
        <f>'28.07.2026'!D23</f>
        <v>0</v>
      </c>
      <c r="AE21" s="2">
        <f>'29.07.2026'!D23</f>
        <v>0</v>
      </c>
      <c r="AF21" s="2">
        <f>'30.07.2026'!D23</f>
        <v>0</v>
      </c>
      <c r="AG21" s="58">
        <f>'31.07.2026'!D23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'01.07.2026'!D24</f>
        <v>0</v>
      </c>
      <c r="D22" s="2">
        <f>'02.07.2026'!D24</f>
        <v>0</v>
      </c>
      <c r="E22" s="2">
        <f>'03.07.2026'!D24</f>
        <v>0</v>
      </c>
      <c r="F22" s="6">
        <f>'04.07.2026'!D24</f>
        <v>0</v>
      </c>
      <c r="G22" s="6"/>
      <c r="H22" s="2">
        <f>'06.07.2026'!D24</f>
        <v>0</v>
      </c>
      <c r="I22" s="2">
        <f>'07.07.2026'!D24</f>
        <v>0</v>
      </c>
      <c r="J22" s="2">
        <f>'08.07.2026'!D24</f>
        <v>0</v>
      </c>
      <c r="K22" s="2">
        <f>'09.07.2026'!D24</f>
        <v>0</v>
      </c>
      <c r="L22" s="2">
        <f>'10.07.2026'!D24</f>
        <v>0</v>
      </c>
      <c r="M22" s="6">
        <f>'11.07.2026'!D24</f>
        <v>0</v>
      </c>
      <c r="N22" s="6"/>
      <c r="O22" s="2">
        <f>'13.07.2026'!D24</f>
        <v>0</v>
      </c>
      <c r="P22" s="2">
        <f>'14.07.2026'!D24</f>
        <v>0</v>
      </c>
      <c r="Q22" s="2">
        <f>'15.07.2026'!D24</f>
        <v>0</v>
      </c>
      <c r="R22" s="2">
        <f>'16.07.2026'!D24</f>
        <v>0</v>
      </c>
      <c r="S22" s="2">
        <f>'17.07.2026'!D24</f>
        <v>0</v>
      </c>
      <c r="T22" s="6">
        <f>'18.07.2026'!D24</f>
        <v>0</v>
      </c>
      <c r="U22" s="6"/>
      <c r="V22" s="2">
        <f>'20.07.2026'!D24</f>
        <v>0</v>
      </c>
      <c r="W22" s="2">
        <f>'21.07.2026'!D24</f>
        <v>0</v>
      </c>
      <c r="X22" s="2">
        <f>'22.07.2026'!D24</f>
        <v>0</v>
      </c>
      <c r="Y22" s="2">
        <f>'23.07.2026'!D24</f>
        <v>0</v>
      </c>
      <c r="Z22" s="2">
        <f>'24.07.2026'!D24</f>
        <v>0</v>
      </c>
      <c r="AA22" s="6">
        <f>'25.07.2026'!D24</f>
        <v>0</v>
      </c>
      <c r="AB22" s="6"/>
      <c r="AC22" s="2">
        <f>'27.07.2026'!D24</f>
        <v>0</v>
      </c>
      <c r="AD22" s="2">
        <f>'28.07.2026'!D24</f>
        <v>0</v>
      </c>
      <c r="AE22" s="2">
        <f>'29.07.2026'!D24</f>
        <v>0</v>
      </c>
      <c r="AF22" s="2">
        <f>'30.07.2026'!D24</f>
        <v>0</v>
      </c>
      <c r="AG22" s="58">
        <f>'31.07.2026'!D24</f>
        <v>0</v>
      </c>
      <c r="AH22"/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'01.07.2026'!D25</f>
        <v>0</v>
      </c>
      <c r="D23" s="2">
        <f>'02.07.2026'!D25</f>
        <v>0</v>
      </c>
      <c r="E23" s="2">
        <f>'03.07.2026'!D25</f>
        <v>0</v>
      </c>
      <c r="F23" s="6">
        <f>'04.07.2026'!D25</f>
        <v>0</v>
      </c>
      <c r="G23" s="6"/>
      <c r="H23" s="2">
        <f>'06.07.2026'!D25</f>
        <v>0</v>
      </c>
      <c r="I23" s="2">
        <f>'07.07.2026'!D25</f>
        <v>0</v>
      </c>
      <c r="J23" s="2">
        <f>'08.07.2026'!D25</f>
        <v>0</v>
      </c>
      <c r="K23" s="2">
        <f>'09.07.2026'!D25</f>
        <v>0</v>
      </c>
      <c r="L23" s="2">
        <f>'10.07.2026'!D25</f>
        <v>0</v>
      </c>
      <c r="M23" s="6">
        <f>'11.07.2026'!D25</f>
        <v>0</v>
      </c>
      <c r="N23" s="6"/>
      <c r="O23" s="2">
        <f>'13.07.2026'!D25</f>
        <v>0</v>
      </c>
      <c r="P23" s="2">
        <f>'14.07.2026'!D25</f>
        <v>0</v>
      </c>
      <c r="Q23" s="2">
        <f>'15.07.2026'!D25</f>
        <v>0</v>
      </c>
      <c r="R23" s="2">
        <f>'16.07.2026'!D25</f>
        <v>0</v>
      </c>
      <c r="S23" s="2">
        <f>'17.07.2026'!D25</f>
        <v>0</v>
      </c>
      <c r="T23" s="6">
        <f>'18.07.2026'!D25</f>
        <v>0</v>
      </c>
      <c r="U23" s="6"/>
      <c r="V23" s="2">
        <f>'20.07.2026'!D25</f>
        <v>0</v>
      </c>
      <c r="W23" s="2">
        <f>'21.07.2026'!D25</f>
        <v>0</v>
      </c>
      <c r="X23" s="2">
        <f>'22.07.2026'!D25</f>
        <v>0</v>
      </c>
      <c r="Y23" s="2">
        <f>'23.07.2026'!D25</f>
        <v>0</v>
      </c>
      <c r="Z23" s="2">
        <f>'24.07.2026'!D25</f>
        <v>0</v>
      </c>
      <c r="AA23" s="6">
        <f>'25.07.2026'!D25</f>
        <v>0</v>
      </c>
      <c r="AB23" s="6"/>
      <c r="AC23" s="2">
        <f>'27.07.2026'!D25</f>
        <v>0</v>
      </c>
      <c r="AD23" s="2">
        <f>'28.07.2026'!D25</f>
        <v>0</v>
      </c>
      <c r="AE23" s="2">
        <f>'29.07.2026'!D25</f>
        <v>0</v>
      </c>
      <c r="AF23" s="2">
        <f>'30.07.2026'!D25</f>
        <v>0</v>
      </c>
      <c r="AG23" s="58">
        <f>'31.07.2026'!D25</f>
        <v>0</v>
      </c>
      <c r="AH23"/>
      <c r="AI23" s="22">
        <f t="shared" si="1"/>
        <v>0</v>
      </c>
    </row>
    <row r="24" spans="1:35" ht="17.25" customHeight="1" thickBot="1" x14ac:dyDescent="0.3">
      <c r="A24" s="13">
        <v>11</v>
      </c>
      <c r="B24" s="20" t="s">
        <v>23</v>
      </c>
      <c r="C24" s="5">
        <f>'01.07.2026'!D26</f>
        <v>0</v>
      </c>
      <c r="D24" s="5">
        <f>'02.07.2026'!D26</f>
        <v>0</v>
      </c>
      <c r="E24" s="5">
        <f>'03.07.2026'!D26</f>
        <v>0</v>
      </c>
      <c r="F24" s="7">
        <f>'04.07.2026'!D26</f>
        <v>0</v>
      </c>
      <c r="G24" s="7"/>
      <c r="H24" s="5">
        <f>'06.07.2026'!D26</f>
        <v>1</v>
      </c>
      <c r="I24" s="5">
        <f>'07.07.2026'!D26</f>
        <v>0</v>
      </c>
      <c r="J24" s="5">
        <f>'08.07.2026'!D26</f>
        <v>0</v>
      </c>
      <c r="K24" s="5">
        <f>'09.07.2026'!D26</f>
        <v>0</v>
      </c>
      <c r="L24" s="5">
        <f>'10.07.2026'!D26</f>
        <v>0</v>
      </c>
      <c r="M24" s="7">
        <f>'11.07.2026'!D26</f>
        <v>0</v>
      </c>
      <c r="N24" s="7"/>
      <c r="O24" s="5">
        <f>'13.07.2026'!D26</f>
        <v>1</v>
      </c>
      <c r="P24" s="5">
        <f>'14.07.2026'!D26</f>
        <v>0</v>
      </c>
      <c r="Q24" s="5">
        <f>'15.07.2026'!D26</f>
        <v>0</v>
      </c>
      <c r="R24" s="5">
        <f>'16.07.2026'!D26</f>
        <v>0</v>
      </c>
      <c r="S24" s="5">
        <f>'17.07.2026'!D26</f>
        <v>0</v>
      </c>
      <c r="T24" s="7">
        <f>'18.07.2026'!D26</f>
        <v>0</v>
      </c>
      <c r="U24" s="7"/>
      <c r="V24" s="5">
        <f>'20.07.2026'!D26</f>
        <v>0</v>
      </c>
      <c r="W24" s="5">
        <f>'21.07.2026'!D26</f>
        <v>0</v>
      </c>
      <c r="X24" s="5">
        <f>'22.07.2026'!D26</f>
        <v>0</v>
      </c>
      <c r="Y24" s="5">
        <f>'23.07.2026'!D26</f>
        <v>0</v>
      </c>
      <c r="Z24" s="5">
        <f>'24.07.2026'!D26</f>
        <v>0</v>
      </c>
      <c r="AA24" s="7">
        <f>'25.07.2026'!D26</f>
        <v>0</v>
      </c>
      <c r="AB24" s="7"/>
      <c r="AC24" s="5">
        <f>'27.07.2026'!D26</f>
        <v>0</v>
      </c>
      <c r="AD24" s="5">
        <f>'28.07.2026'!D26</f>
        <v>0</v>
      </c>
      <c r="AE24" s="5">
        <f>'29.07.2026'!D26</f>
        <v>1</v>
      </c>
      <c r="AF24" s="5">
        <f>'30.07.2026'!D26</f>
        <v>0</v>
      </c>
      <c r="AG24" s="59">
        <f>'31.07.2026'!D26</f>
        <v>0</v>
      </c>
      <c r="AH24"/>
      <c r="AI24" s="22">
        <f t="shared" si="1"/>
        <v>3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79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'01.07.2026'!D29</f>
        <v>0</v>
      </c>
      <c r="D27" s="2">
        <f>'02.07.2026'!D29</f>
        <v>0</v>
      </c>
      <c r="E27" s="2">
        <f>'03.07.2026'!D29</f>
        <v>0</v>
      </c>
      <c r="F27" s="6">
        <f>'04.07.2026'!D29</f>
        <v>0</v>
      </c>
      <c r="G27" s="6"/>
      <c r="H27" s="2">
        <f>'06.07.2026'!D29</f>
        <v>0</v>
      </c>
      <c r="I27" s="2">
        <f>'07.07.2026'!D29</f>
        <v>0</v>
      </c>
      <c r="J27" s="2">
        <f>'08.07.2026'!D29</f>
        <v>0</v>
      </c>
      <c r="K27" s="2">
        <f>'09.07.2026'!D29</f>
        <v>0</v>
      </c>
      <c r="L27" s="2">
        <f>'10.07.2026'!D29</f>
        <v>0</v>
      </c>
      <c r="M27" s="6">
        <f>'11.07.2026'!D29</f>
        <v>0</v>
      </c>
      <c r="N27" s="6"/>
      <c r="O27" s="2">
        <f>'13.07.2026'!D29</f>
        <v>0</v>
      </c>
      <c r="P27" s="2">
        <f>'14.07.2026'!D29</f>
        <v>0</v>
      </c>
      <c r="Q27" s="2">
        <f>'15.07.2026'!D29</f>
        <v>0</v>
      </c>
      <c r="R27" s="2">
        <f>'16.07.2026'!D29</f>
        <v>0</v>
      </c>
      <c r="S27" s="2">
        <f>'17.07.2026'!D29</f>
        <v>0</v>
      </c>
      <c r="T27" s="6">
        <f>'18.07.2026'!D29</f>
        <v>0</v>
      </c>
      <c r="U27" s="6"/>
      <c r="V27" s="2">
        <f>'20.07.2026'!D29</f>
        <v>0</v>
      </c>
      <c r="W27" s="2">
        <f>'21.07.2026'!D29</f>
        <v>0</v>
      </c>
      <c r="X27" s="2">
        <f>'22.07.2026'!D29</f>
        <v>0</v>
      </c>
      <c r="Y27" s="2">
        <f>'23.07.2026'!D29</f>
        <v>0</v>
      </c>
      <c r="Z27" s="2">
        <f>'24.07.2026'!D29</f>
        <v>0</v>
      </c>
      <c r="AA27" s="6">
        <f>'25.07.2026'!D29</f>
        <v>0</v>
      </c>
      <c r="AB27" s="6"/>
      <c r="AC27" s="2">
        <f>'27.07.2026'!D29</f>
        <v>0</v>
      </c>
      <c r="AD27" s="2">
        <f>'28.07.2026'!D29</f>
        <v>0</v>
      </c>
      <c r="AE27" s="2">
        <f>'29.07.2026'!D29</f>
        <v>0</v>
      </c>
      <c r="AF27" s="2">
        <f>'30.07.2026'!D29</f>
        <v>0</v>
      </c>
      <c r="AG27" s="58">
        <f>'31.07.2026'!D29</f>
        <v>0</v>
      </c>
      <c r="AH27"/>
      <c r="AI27" s="22">
        <f t="shared" ref="AI27:AI31" si="2">SUM(C27:AF27)</f>
        <v>0</v>
      </c>
    </row>
    <row r="28" spans="1:35" ht="17.25" customHeight="1" x14ac:dyDescent="0.25">
      <c r="A28" s="4">
        <v>2</v>
      </c>
      <c r="B28" s="18" t="s">
        <v>26</v>
      </c>
      <c r="C28" s="2">
        <f>'01.07.2026'!D30</f>
        <v>0</v>
      </c>
      <c r="D28" s="2">
        <f>'02.07.2026'!D30</f>
        <v>1</v>
      </c>
      <c r="E28" s="2">
        <f>'03.07.2026'!D30</f>
        <v>1</v>
      </c>
      <c r="F28" s="6">
        <f>'04.07.2026'!D30</f>
        <v>0</v>
      </c>
      <c r="G28" s="6"/>
      <c r="H28" s="2">
        <f>'06.07.2026'!D30</f>
        <v>0</v>
      </c>
      <c r="I28" s="2">
        <f>'07.07.2026'!D30</f>
        <v>0</v>
      </c>
      <c r="J28" s="2">
        <f>'08.07.2026'!D30</f>
        <v>0</v>
      </c>
      <c r="K28" s="2">
        <f>'09.07.2026'!D30</f>
        <v>0</v>
      </c>
      <c r="L28" s="2">
        <f>'10.07.2026'!D30</f>
        <v>0</v>
      </c>
      <c r="M28" s="6">
        <f>'11.07.2026'!D30</f>
        <v>0</v>
      </c>
      <c r="N28" s="6"/>
      <c r="O28" s="2">
        <f>'13.07.2026'!D30</f>
        <v>0</v>
      </c>
      <c r="P28" s="2">
        <f>'14.07.2026'!D30</f>
        <v>0</v>
      </c>
      <c r="Q28" s="2">
        <f>'15.07.2026'!D30</f>
        <v>0</v>
      </c>
      <c r="R28" s="2">
        <f>'16.07.2026'!D30</f>
        <v>0</v>
      </c>
      <c r="S28" s="2">
        <f>'17.07.2026'!D30</f>
        <v>0</v>
      </c>
      <c r="T28" s="6">
        <f>'18.07.2026'!D30</f>
        <v>0</v>
      </c>
      <c r="U28" s="6"/>
      <c r="V28" s="2">
        <f>'20.07.2026'!D30</f>
        <v>0</v>
      </c>
      <c r="W28" s="2">
        <f>'21.07.2026'!D30</f>
        <v>0</v>
      </c>
      <c r="X28" s="2">
        <f>'22.07.2026'!D30</f>
        <v>0</v>
      </c>
      <c r="Y28" s="2">
        <f>'23.07.2026'!D30</f>
        <v>0</v>
      </c>
      <c r="Z28" s="2">
        <f>'24.07.2026'!D30</f>
        <v>0</v>
      </c>
      <c r="AA28" s="6">
        <f>'25.07.2026'!D30</f>
        <v>0</v>
      </c>
      <c r="AB28" s="6"/>
      <c r="AC28" s="2">
        <f>'27.07.2026'!D30</f>
        <v>0</v>
      </c>
      <c r="AD28" s="2">
        <f>'28.07.2026'!D30</f>
        <v>0</v>
      </c>
      <c r="AE28" s="2">
        <f>'29.07.2026'!D30</f>
        <v>0</v>
      </c>
      <c r="AF28" s="2">
        <f>'30.07.2026'!D30</f>
        <v>0</v>
      </c>
      <c r="AG28" s="58">
        <f>'31.07.2026'!D30</f>
        <v>0</v>
      </c>
      <c r="AH28"/>
      <c r="AI28" s="22">
        <f t="shared" si="2"/>
        <v>2</v>
      </c>
    </row>
    <row r="29" spans="1:35" ht="17.25" customHeight="1" x14ac:dyDescent="0.25">
      <c r="A29" s="4">
        <v>3</v>
      </c>
      <c r="B29" s="18" t="s">
        <v>27</v>
      </c>
      <c r="C29" s="2">
        <f>'01.07.2026'!D31</f>
        <v>0</v>
      </c>
      <c r="D29" s="2">
        <f>'02.07.2026'!D31</f>
        <v>0</v>
      </c>
      <c r="E29" s="2">
        <f>'03.07.2026'!D31</f>
        <v>0</v>
      </c>
      <c r="F29" s="6">
        <f>'04.07.2026'!D31</f>
        <v>0</v>
      </c>
      <c r="G29" s="63"/>
      <c r="H29" s="2">
        <f>'06.07.2026'!D31</f>
        <v>0</v>
      </c>
      <c r="I29" s="2">
        <f>'07.07.2026'!D31</f>
        <v>0</v>
      </c>
      <c r="J29" s="2">
        <f>'08.07.2026'!D31</f>
        <v>0</v>
      </c>
      <c r="K29" s="2">
        <f>'09.07.2026'!D31</f>
        <v>0</v>
      </c>
      <c r="L29" s="2">
        <f>'10.07.2026'!D31</f>
        <v>0</v>
      </c>
      <c r="M29" s="6">
        <f>'11.07.2026'!D31</f>
        <v>0</v>
      </c>
      <c r="N29" s="63"/>
      <c r="O29" s="2">
        <f>'13.07.2026'!D31</f>
        <v>0</v>
      </c>
      <c r="P29" s="2">
        <f>'14.07.2026'!D31</f>
        <v>0</v>
      </c>
      <c r="Q29" s="2">
        <f>'15.07.2026'!D31</f>
        <v>0</v>
      </c>
      <c r="R29" s="2">
        <f>'16.07.2026'!D31</f>
        <v>0</v>
      </c>
      <c r="S29" s="2">
        <f>'17.07.2026'!D31</f>
        <v>0</v>
      </c>
      <c r="T29" s="6">
        <f>'18.07.2026'!D31</f>
        <v>0</v>
      </c>
      <c r="U29" s="6"/>
      <c r="V29" s="2">
        <f>'20.07.2026'!D31</f>
        <v>0</v>
      </c>
      <c r="W29" s="2">
        <f>'21.07.2026'!D31</f>
        <v>0</v>
      </c>
      <c r="X29" s="2">
        <f>'22.07.2026'!D31</f>
        <v>0</v>
      </c>
      <c r="Y29" s="2">
        <f>'23.07.2026'!D31</f>
        <v>0</v>
      </c>
      <c r="Z29" s="2">
        <f>'24.07.2026'!D31</f>
        <v>0</v>
      </c>
      <c r="AA29" s="6">
        <f>'25.07.2026'!D31</f>
        <v>0</v>
      </c>
      <c r="AB29" s="6"/>
      <c r="AC29" s="2">
        <f>'27.07.2026'!D31</f>
        <v>0</v>
      </c>
      <c r="AD29" s="2">
        <f>'28.07.2026'!D31</f>
        <v>0</v>
      </c>
      <c r="AE29" s="2">
        <f>'29.07.2026'!D31</f>
        <v>0</v>
      </c>
      <c r="AF29" s="2">
        <f>'30.07.2026'!D31</f>
        <v>0</v>
      </c>
      <c r="AG29" s="58">
        <f>'31.07.2026'!D31</f>
        <v>0</v>
      </c>
      <c r="AH29"/>
      <c r="AI29" s="22">
        <f t="shared" si="2"/>
        <v>0</v>
      </c>
    </row>
    <row r="30" spans="1:35" ht="17.25" customHeight="1" x14ac:dyDescent="0.25">
      <c r="A30" s="4">
        <v>4</v>
      </c>
      <c r="B30" s="18" t="s">
        <v>28</v>
      </c>
      <c r="C30" s="2">
        <f>'01.07.2026'!D32</f>
        <v>0</v>
      </c>
      <c r="D30" s="2">
        <f>'02.07.2026'!D32</f>
        <v>0</v>
      </c>
      <c r="E30" s="2">
        <f>'03.07.2026'!D32</f>
        <v>0</v>
      </c>
      <c r="F30" s="6">
        <f>'04.07.2026'!D32</f>
        <v>0</v>
      </c>
      <c r="G30" s="6"/>
      <c r="H30" s="2">
        <f>'06.07.2026'!D32</f>
        <v>0</v>
      </c>
      <c r="I30" s="2">
        <f>'07.07.2026'!D32</f>
        <v>0</v>
      </c>
      <c r="J30" s="2">
        <f>'08.07.2026'!D32</f>
        <v>0</v>
      </c>
      <c r="K30" s="2">
        <f>'09.07.2026'!D32</f>
        <v>0</v>
      </c>
      <c r="L30" s="2">
        <f>'10.07.2026'!D32</f>
        <v>0</v>
      </c>
      <c r="M30" s="6">
        <f>'11.07.2026'!D32</f>
        <v>0</v>
      </c>
      <c r="N30" s="6"/>
      <c r="O30" s="2">
        <f>'13.07.2026'!D32</f>
        <v>0</v>
      </c>
      <c r="P30" s="2">
        <f>'14.07.2026'!D32</f>
        <v>0</v>
      </c>
      <c r="Q30" s="2">
        <f>'15.07.2026'!D32</f>
        <v>0</v>
      </c>
      <c r="R30" s="2">
        <f>'16.07.2026'!D32</f>
        <v>0</v>
      </c>
      <c r="S30" s="2">
        <f>'17.07.2026'!D32</f>
        <v>0</v>
      </c>
      <c r="T30" s="6">
        <f>'18.07.2026'!D32</f>
        <v>0</v>
      </c>
      <c r="U30" s="6"/>
      <c r="V30" s="2">
        <f>'20.07.2026'!D32</f>
        <v>0</v>
      </c>
      <c r="W30" s="2">
        <f>'21.07.2026'!D32</f>
        <v>0</v>
      </c>
      <c r="X30" s="2">
        <f>'22.07.2026'!D32</f>
        <v>0</v>
      </c>
      <c r="Y30" s="2">
        <f>'23.07.2026'!D32</f>
        <v>0</v>
      </c>
      <c r="Z30" s="2">
        <f>'24.07.2026'!D32</f>
        <v>0</v>
      </c>
      <c r="AA30" s="6">
        <f>'25.07.2026'!D32</f>
        <v>0</v>
      </c>
      <c r="AB30" s="6"/>
      <c r="AC30" s="2">
        <f>'27.07.2026'!D32</f>
        <v>0</v>
      </c>
      <c r="AD30" s="2">
        <f>'28.07.2026'!D32</f>
        <v>2</v>
      </c>
      <c r="AE30" s="2">
        <f>'29.07.2026'!D32</f>
        <v>0</v>
      </c>
      <c r="AF30" s="2">
        <f>'30.07.2026'!D32</f>
        <v>0</v>
      </c>
      <c r="AG30" s="58">
        <f>'31.07.2026'!D32</f>
        <v>0</v>
      </c>
      <c r="AH30"/>
      <c r="AI30" s="22">
        <f t="shared" si="2"/>
        <v>2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'01.07.2026'!D33</f>
        <v>15</v>
      </c>
      <c r="D31" s="5">
        <f>'02.07.2026'!D33</f>
        <v>0</v>
      </c>
      <c r="E31" s="5">
        <f>'03.07.2026'!D33</f>
        <v>0</v>
      </c>
      <c r="F31" s="7">
        <f>'04.07.2026'!D33</f>
        <v>0</v>
      </c>
      <c r="G31" s="7"/>
      <c r="H31" s="5">
        <f>'06.07.2026'!D33</f>
        <v>0</v>
      </c>
      <c r="I31" s="5">
        <f>'07.07.2026'!D33</f>
        <v>0</v>
      </c>
      <c r="J31" s="5">
        <f>'08.07.2026'!D33</f>
        <v>0</v>
      </c>
      <c r="K31" s="5">
        <f>'09.07.2026'!D33</f>
        <v>0</v>
      </c>
      <c r="L31" s="5">
        <f>'10.07.2026'!D33</f>
        <v>0</v>
      </c>
      <c r="M31" s="7">
        <f>'11.07.2026'!D33</f>
        <v>0</v>
      </c>
      <c r="N31" s="7"/>
      <c r="O31" s="5">
        <f>'13.07.2026'!D33</f>
        <v>0</v>
      </c>
      <c r="P31" s="5">
        <f>'14.07.2026'!D33</f>
        <v>0</v>
      </c>
      <c r="Q31" s="5">
        <f>'15.07.2026'!D33</f>
        <v>0</v>
      </c>
      <c r="R31" s="5">
        <f>'16.07.2026'!D33</f>
        <v>0</v>
      </c>
      <c r="S31" s="5">
        <f>'17.07.2026'!D33</f>
        <v>0</v>
      </c>
      <c r="T31" s="7">
        <f>'18.07.2026'!D33</f>
        <v>0</v>
      </c>
      <c r="U31" s="7"/>
      <c r="V31" s="5">
        <f>'20.07.2026'!D33</f>
        <v>1</v>
      </c>
      <c r="W31" s="5">
        <f>'21.07.2026'!D33</f>
        <v>10</v>
      </c>
      <c r="X31" s="5">
        <f>'22.07.2026'!D33</f>
        <v>44</v>
      </c>
      <c r="Y31" s="5">
        <f>'23.07.2026'!D33</f>
        <v>8</v>
      </c>
      <c r="Z31" s="5">
        <f>'24.07.2026'!D33</f>
        <v>13</v>
      </c>
      <c r="AA31" s="7">
        <f>'25.07.2026'!D33</f>
        <v>0</v>
      </c>
      <c r="AB31" s="7"/>
      <c r="AC31" s="5">
        <f>'27.07.2026'!D33</f>
        <v>16</v>
      </c>
      <c r="AD31" s="5">
        <f>'28.07.2026'!D33</f>
        <v>8</v>
      </c>
      <c r="AE31" s="5">
        <f>'29.07.2026'!D33</f>
        <v>7</v>
      </c>
      <c r="AF31" s="5">
        <f>'30.07.2026'!D33</f>
        <v>19</v>
      </c>
      <c r="AG31" s="59">
        <f>'31.07.2026'!D33</f>
        <v>5</v>
      </c>
      <c r="AH31"/>
      <c r="AI31" s="22">
        <f t="shared" si="2"/>
        <v>141</v>
      </c>
    </row>
  </sheetData>
  <mergeCells count="3">
    <mergeCell ref="A1:AF1"/>
    <mergeCell ref="AI25:AI26"/>
    <mergeCell ref="AI12:AI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B6B0-24D0-447F-8F5E-B0209408E7DB}">
  <sheetPr codeName="Sheet16"/>
  <dimension ref="A1:AI31"/>
  <sheetViews>
    <sheetView workbookViewId="0">
      <selection activeCell="AI25" sqref="AI25:AI26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'01.07.2026'!E5</f>
        <v>3</v>
      </c>
      <c r="D3" s="2">
        <f>'02.07.2026'!E5</f>
        <v>0</v>
      </c>
      <c r="E3" s="2">
        <f>'03.07.2026'!E5</f>
        <v>0</v>
      </c>
      <c r="F3" s="6">
        <f>'04.07.2026'!E5</f>
        <v>5</v>
      </c>
      <c r="G3" s="6"/>
      <c r="H3" s="2">
        <f>'06.07.2026'!E5</f>
        <v>2</v>
      </c>
      <c r="I3" s="2">
        <f>'07.07.2026'!E5</f>
        <v>6</v>
      </c>
      <c r="J3" s="2">
        <f>'08.07.2026'!E5</f>
        <v>2</v>
      </c>
      <c r="K3" s="2">
        <f>'09.07.2026'!E5</f>
        <v>1</v>
      </c>
      <c r="L3" s="2">
        <f>'10.07.2026'!E5</f>
        <v>3</v>
      </c>
      <c r="M3" s="6">
        <f>'11.07.2026'!E5</f>
        <v>0</v>
      </c>
      <c r="N3" s="6"/>
      <c r="O3" s="2">
        <f>'13.07.2026'!E5</f>
        <v>3</v>
      </c>
      <c r="P3" s="2">
        <f>'14.07.2026'!E5</f>
        <v>2</v>
      </c>
      <c r="Q3" s="2">
        <f>'15.07.2026'!E5</f>
        <v>3</v>
      </c>
      <c r="R3" s="2">
        <f>'16.07.2026'!E5</f>
        <v>2</v>
      </c>
      <c r="S3" s="2">
        <f>'17.07.2026'!E5</f>
        <v>6</v>
      </c>
      <c r="T3" s="6">
        <f>'18.07.2026'!E5</f>
        <v>0</v>
      </c>
      <c r="U3" s="6"/>
      <c r="V3" s="2">
        <f>'20.07.2026'!E5</f>
        <v>0</v>
      </c>
      <c r="W3" s="2">
        <f>'21.07.2026'!E5</f>
        <v>0</v>
      </c>
      <c r="X3" s="2">
        <f>'22.07.2026'!E5</f>
        <v>3</v>
      </c>
      <c r="Y3" s="2">
        <f>'23.07.2026'!E5</f>
        <v>1</v>
      </c>
      <c r="Z3" s="2">
        <f>'24.07.2026'!E5</f>
        <v>0</v>
      </c>
      <c r="AA3" s="6">
        <f>'25.07.2026'!E5</f>
        <v>0</v>
      </c>
      <c r="AB3" s="6"/>
      <c r="AC3" s="2">
        <f>'27.07.2026'!E5</f>
        <v>0</v>
      </c>
      <c r="AD3" s="2">
        <f>'28.07.2026'!E5</f>
        <v>1</v>
      </c>
      <c r="AE3" s="2">
        <f>'29.07.2026'!E5</f>
        <v>0</v>
      </c>
      <c r="AF3" s="2">
        <f>'30.07.2026'!E5</f>
        <v>0</v>
      </c>
      <c r="AG3" s="58">
        <f>'31.07.2026'!E5</f>
        <v>0</v>
      </c>
      <c r="AH3"/>
      <c r="AI3" s="22">
        <f t="shared" ref="AI3:AI11" si="0">SUM(C3:AF3)</f>
        <v>43</v>
      </c>
    </row>
    <row r="4" spans="1:35" ht="17.25" customHeight="1" x14ac:dyDescent="0.25">
      <c r="A4" s="4">
        <v>2</v>
      </c>
      <c r="B4" s="1" t="s">
        <v>5</v>
      </c>
      <c r="C4" s="2">
        <f>'01.07.2026'!E6</f>
        <v>0</v>
      </c>
      <c r="D4" s="2">
        <f>'02.07.2026'!E6</f>
        <v>0</v>
      </c>
      <c r="E4" s="2">
        <f>'03.07.2026'!E6</f>
        <v>0</v>
      </c>
      <c r="F4" s="6">
        <f>'04.07.2026'!E6</f>
        <v>0</v>
      </c>
      <c r="G4" s="6"/>
      <c r="H4" s="2">
        <f>'06.07.2026'!E6</f>
        <v>1</v>
      </c>
      <c r="I4" s="2">
        <f>'07.07.2026'!E6</f>
        <v>0</v>
      </c>
      <c r="J4" s="2">
        <f>'08.07.2026'!E6</f>
        <v>0</v>
      </c>
      <c r="K4" s="2">
        <f>'09.07.2026'!E6</f>
        <v>0</v>
      </c>
      <c r="L4" s="2">
        <f>'10.07.2026'!E6</f>
        <v>0</v>
      </c>
      <c r="M4" s="6">
        <f>'11.07.2026'!E6</f>
        <v>0</v>
      </c>
      <c r="N4" s="6"/>
      <c r="O4" s="2">
        <f>'13.07.2026'!E6</f>
        <v>0</v>
      </c>
      <c r="P4" s="2">
        <f>'14.07.2026'!E6</f>
        <v>0</v>
      </c>
      <c r="Q4" s="2">
        <f>'15.07.2026'!E6</f>
        <v>0</v>
      </c>
      <c r="R4" s="2">
        <f>'16.07.2026'!E6</f>
        <v>0</v>
      </c>
      <c r="S4" s="2">
        <f>'17.07.2026'!E6</f>
        <v>0</v>
      </c>
      <c r="T4" s="6">
        <f>'18.07.2026'!E6</f>
        <v>0</v>
      </c>
      <c r="U4" s="6"/>
      <c r="V4" s="2">
        <f>'20.07.2026'!E6</f>
        <v>0</v>
      </c>
      <c r="W4" s="2">
        <f>'21.07.2026'!E6</f>
        <v>0</v>
      </c>
      <c r="X4" s="2">
        <f>'22.07.2026'!E6</f>
        <v>0</v>
      </c>
      <c r="Y4" s="2">
        <f>'23.07.2026'!E6</f>
        <v>0</v>
      </c>
      <c r="Z4" s="2">
        <f>'24.07.2026'!E6</f>
        <v>0</v>
      </c>
      <c r="AA4" s="6">
        <f>'25.07.2026'!E6</f>
        <v>0</v>
      </c>
      <c r="AB4" s="6"/>
      <c r="AC4" s="2">
        <f>'27.07.2026'!E6</f>
        <v>0</v>
      </c>
      <c r="AD4" s="2">
        <f>'28.07.2026'!E6</f>
        <v>0</v>
      </c>
      <c r="AE4" s="2">
        <f>'29.07.2026'!E6</f>
        <v>0</v>
      </c>
      <c r="AF4" s="2">
        <f>'30.07.2026'!E6</f>
        <v>0</v>
      </c>
      <c r="AG4" s="58">
        <f>'31.07.2026'!E6</f>
        <v>0</v>
      </c>
      <c r="AH4"/>
      <c r="AI4" s="22">
        <f t="shared" si="0"/>
        <v>1</v>
      </c>
    </row>
    <row r="5" spans="1:35" ht="17.25" customHeight="1" x14ac:dyDescent="0.25">
      <c r="A5" s="4">
        <v>3</v>
      </c>
      <c r="B5" s="1" t="s">
        <v>6</v>
      </c>
      <c r="C5" s="2">
        <f>'01.07.2026'!E7</f>
        <v>0</v>
      </c>
      <c r="D5" s="2">
        <f>'02.07.2026'!E7</f>
        <v>0</v>
      </c>
      <c r="E5" s="2">
        <f>'03.07.2026'!E7</f>
        <v>0</v>
      </c>
      <c r="F5" s="6">
        <f>'04.07.2026'!E7</f>
        <v>0</v>
      </c>
      <c r="G5" s="6"/>
      <c r="H5" s="2">
        <f>'06.07.2026'!E7</f>
        <v>0</v>
      </c>
      <c r="I5" s="2">
        <f>'07.07.2026'!E7</f>
        <v>0</v>
      </c>
      <c r="J5" s="2">
        <f>'08.07.2026'!E7</f>
        <v>0</v>
      </c>
      <c r="K5" s="2">
        <f>'09.07.2026'!E7</f>
        <v>0</v>
      </c>
      <c r="L5" s="2">
        <f>'10.07.2026'!E7</f>
        <v>0</v>
      </c>
      <c r="M5" s="6">
        <f>'11.07.2026'!E7</f>
        <v>0</v>
      </c>
      <c r="N5" s="6"/>
      <c r="O5" s="2">
        <f>'13.07.2026'!E7</f>
        <v>0</v>
      </c>
      <c r="P5" s="2">
        <f>'14.07.2026'!E7</f>
        <v>0</v>
      </c>
      <c r="Q5" s="2">
        <f>'15.07.2026'!E7</f>
        <v>0</v>
      </c>
      <c r="R5" s="2">
        <f>'16.07.2026'!E7</f>
        <v>0</v>
      </c>
      <c r="S5" s="2">
        <f>'17.07.2026'!E7</f>
        <v>0</v>
      </c>
      <c r="T5" s="6">
        <f>'18.07.2026'!E7</f>
        <v>0</v>
      </c>
      <c r="U5" s="6"/>
      <c r="V5" s="2">
        <f>'20.07.2026'!E7</f>
        <v>0</v>
      </c>
      <c r="W5" s="2">
        <f>'21.07.2026'!E7</f>
        <v>0</v>
      </c>
      <c r="X5" s="2">
        <f>'22.07.2026'!E7</f>
        <v>0</v>
      </c>
      <c r="Y5" s="2">
        <f>'23.07.2026'!E7</f>
        <v>0</v>
      </c>
      <c r="Z5" s="2">
        <f>'24.07.2026'!E7</f>
        <v>0</v>
      </c>
      <c r="AA5" s="6">
        <f>'25.07.2026'!E7</f>
        <v>0</v>
      </c>
      <c r="AB5" s="6"/>
      <c r="AC5" s="2">
        <f>'27.07.2026'!E7</f>
        <v>0</v>
      </c>
      <c r="AD5" s="2">
        <f>'28.07.2026'!E7</f>
        <v>0</v>
      </c>
      <c r="AE5" s="2">
        <f>'29.07.2026'!E7</f>
        <v>0</v>
      </c>
      <c r="AF5" s="2">
        <f>'30.07.2026'!E7</f>
        <v>1</v>
      </c>
      <c r="AG5" s="58">
        <f>'31.07.2026'!E7</f>
        <v>0</v>
      </c>
      <c r="AH5"/>
      <c r="AI5" s="22">
        <f t="shared" si="0"/>
        <v>1</v>
      </c>
    </row>
    <row r="6" spans="1:35" ht="17.25" customHeight="1" x14ac:dyDescent="0.25">
      <c r="A6" s="4">
        <v>4</v>
      </c>
      <c r="B6" s="1" t="s">
        <v>7</v>
      </c>
      <c r="C6" s="2">
        <f>'01.07.2026'!E8</f>
        <v>0</v>
      </c>
      <c r="D6" s="2">
        <f>'02.07.2026'!E8</f>
        <v>1</v>
      </c>
      <c r="E6" s="2">
        <f>'03.07.2026'!E8</f>
        <v>4</v>
      </c>
      <c r="F6" s="6">
        <f>'04.07.2026'!E8</f>
        <v>0</v>
      </c>
      <c r="G6" s="6"/>
      <c r="H6" s="2">
        <f>'06.07.2026'!E8</f>
        <v>0</v>
      </c>
      <c r="I6" s="2">
        <f>'07.07.2026'!E8</f>
        <v>0</v>
      </c>
      <c r="J6" s="2">
        <f>'08.07.2026'!E8</f>
        <v>0</v>
      </c>
      <c r="K6" s="2">
        <f>'09.07.2026'!E8</f>
        <v>0</v>
      </c>
      <c r="L6" s="2">
        <f>'10.07.2026'!E8</f>
        <v>0</v>
      </c>
      <c r="M6" s="6">
        <f>'11.07.2026'!E8</f>
        <v>0</v>
      </c>
      <c r="N6" s="6"/>
      <c r="O6" s="2">
        <f>'13.07.2026'!E8</f>
        <v>0</v>
      </c>
      <c r="P6" s="2">
        <f>'14.07.2026'!E8</f>
        <v>0</v>
      </c>
      <c r="Q6" s="2">
        <f>'15.07.2026'!E8</f>
        <v>0</v>
      </c>
      <c r="R6" s="2">
        <f>'16.07.2026'!E8</f>
        <v>0</v>
      </c>
      <c r="S6" s="2">
        <f>'17.07.2026'!E8</f>
        <v>0</v>
      </c>
      <c r="T6" s="6">
        <f>'18.07.2026'!E8</f>
        <v>0</v>
      </c>
      <c r="U6" s="6"/>
      <c r="V6" s="2">
        <f>'20.07.2026'!E8</f>
        <v>0</v>
      </c>
      <c r="W6" s="2">
        <f>'21.07.2026'!E8</f>
        <v>0</v>
      </c>
      <c r="X6" s="2">
        <f>'22.07.2026'!E8</f>
        <v>0</v>
      </c>
      <c r="Y6" s="2">
        <f>'23.07.2026'!E8</f>
        <v>0</v>
      </c>
      <c r="Z6" s="2">
        <f>'24.07.2026'!E8</f>
        <v>1</v>
      </c>
      <c r="AA6" s="6">
        <f>'25.07.2026'!E8</f>
        <v>0</v>
      </c>
      <c r="AB6" s="6"/>
      <c r="AC6" s="2">
        <f>'27.07.2026'!E8</f>
        <v>0</v>
      </c>
      <c r="AD6" s="2">
        <f>'28.07.2026'!E8</f>
        <v>0</v>
      </c>
      <c r="AE6" s="2">
        <f>'29.07.2026'!E8</f>
        <v>0</v>
      </c>
      <c r="AF6" s="2">
        <f>'30.07.2026'!E8</f>
        <v>1</v>
      </c>
      <c r="AG6" s="58">
        <f>'31.07.2026'!E8</f>
        <v>0</v>
      </c>
      <c r="AH6"/>
      <c r="AI6" s="22">
        <f t="shared" si="0"/>
        <v>7</v>
      </c>
    </row>
    <row r="7" spans="1:35" ht="17.25" customHeight="1" x14ac:dyDescent="0.25">
      <c r="A7" s="4">
        <v>5</v>
      </c>
      <c r="B7" s="1" t="s">
        <v>8</v>
      </c>
      <c r="C7" s="2">
        <f>'01.07.2026'!E9</f>
        <v>0</v>
      </c>
      <c r="D7" s="2">
        <f>'02.07.2026'!E9</f>
        <v>0</v>
      </c>
      <c r="E7" s="2">
        <f>'03.07.2026'!E9</f>
        <v>0</v>
      </c>
      <c r="F7" s="6">
        <f>'04.07.2026'!E9</f>
        <v>1</v>
      </c>
      <c r="G7" s="6"/>
      <c r="H7" s="2">
        <f>'06.07.2026'!E9</f>
        <v>0</v>
      </c>
      <c r="I7" s="2">
        <f>'07.07.2026'!E9</f>
        <v>0</v>
      </c>
      <c r="J7" s="2">
        <f>'08.07.2026'!E9</f>
        <v>0</v>
      </c>
      <c r="K7" s="2">
        <f>'09.07.2026'!E9</f>
        <v>0</v>
      </c>
      <c r="L7" s="2">
        <f>'10.07.2026'!E9</f>
        <v>0</v>
      </c>
      <c r="M7" s="6">
        <f>'11.07.2026'!E9</f>
        <v>0</v>
      </c>
      <c r="N7" s="6"/>
      <c r="O7" s="2">
        <f>'13.07.2026'!E9</f>
        <v>0</v>
      </c>
      <c r="P7" s="2">
        <f>'14.07.2026'!E9</f>
        <v>0</v>
      </c>
      <c r="Q7" s="2">
        <f>'15.07.2026'!E9</f>
        <v>0</v>
      </c>
      <c r="R7" s="2">
        <f>'16.07.2026'!E9</f>
        <v>0</v>
      </c>
      <c r="S7" s="2">
        <f>'17.07.2026'!E9</f>
        <v>0</v>
      </c>
      <c r="T7" s="6">
        <f>'18.07.2026'!E9</f>
        <v>0</v>
      </c>
      <c r="U7" s="6"/>
      <c r="V7" s="2">
        <f>'20.07.2026'!E9</f>
        <v>0</v>
      </c>
      <c r="W7" s="2">
        <f>'21.07.2026'!E9</f>
        <v>0</v>
      </c>
      <c r="X7" s="2">
        <f>'22.07.2026'!E9</f>
        <v>0</v>
      </c>
      <c r="Y7" s="2">
        <f>'23.07.2026'!E9</f>
        <v>0</v>
      </c>
      <c r="Z7" s="2">
        <f>'24.07.2026'!E9</f>
        <v>0</v>
      </c>
      <c r="AA7" s="6">
        <f>'25.07.2026'!E9</f>
        <v>0</v>
      </c>
      <c r="AB7" s="6"/>
      <c r="AC7" s="2">
        <f>'27.07.2026'!E9</f>
        <v>0</v>
      </c>
      <c r="AD7" s="2">
        <f>'28.07.2026'!E9</f>
        <v>0</v>
      </c>
      <c r="AE7" s="2">
        <f>'29.07.2026'!E9</f>
        <v>0</v>
      </c>
      <c r="AF7" s="2">
        <f>'30.07.2026'!E9</f>
        <v>0</v>
      </c>
      <c r="AG7" s="58">
        <f>'31.07.2026'!E9</f>
        <v>0</v>
      </c>
      <c r="AH7"/>
      <c r="AI7" s="22">
        <f t="shared" si="0"/>
        <v>1</v>
      </c>
    </row>
    <row r="8" spans="1:35" ht="17.25" customHeight="1" x14ac:dyDescent="0.25">
      <c r="A8" s="4">
        <v>6</v>
      </c>
      <c r="B8" s="1" t="s">
        <v>9</v>
      </c>
      <c r="C8" s="2">
        <f>'01.07.2026'!E10</f>
        <v>0</v>
      </c>
      <c r="D8" s="2">
        <f>'02.07.2026'!E10</f>
        <v>0</v>
      </c>
      <c r="E8" s="2">
        <f>'03.07.2026'!E10</f>
        <v>0</v>
      </c>
      <c r="F8" s="6">
        <f>'04.07.2026'!E10</f>
        <v>0</v>
      </c>
      <c r="G8" s="6"/>
      <c r="H8" s="2">
        <f>'06.07.2026'!E10</f>
        <v>0</v>
      </c>
      <c r="I8" s="2">
        <f>'07.07.2026'!E10</f>
        <v>0</v>
      </c>
      <c r="J8" s="2">
        <f>'08.07.2026'!E10</f>
        <v>0</v>
      </c>
      <c r="K8" s="2">
        <f>'09.07.2026'!E10</f>
        <v>0</v>
      </c>
      <c r="L8" s="2">
        <f>'10.07.2026'!E10</f>
        <v>0</v>
      </c>
      <c r="M8" s="6">
        <f>'11.07.2026'!E10</f>
        <v>0</v>
      </c>
      <c r="N8" s="6"/>
      <c r="O8" s="2">
        <f>'13.07.2026'!E10</f>
        <v>0</v>
      </c>
      <c r="P8" s="2">
        <f>'14.07.2026'!E10</f>
        <v>0</v>
      </c>
      <c r="Q8" s="2">
        <f>'15.07.2026'!E10</f>
        <v>0</v>
      </c>
      <c r="R8" s="2">
        <f>'16.07.2026'!E10</f>
        <v>0</v>
      </c>
      <c r="S8" s="2">
        <f>'17.07.2026'!E10</f>
        <v>0</v>
      </c>
      <c r="T8" s="6">
        <f>'18.07.2026'!E10</f>
        <v>0</v>
      </c>
      <c r="U8" s="6"/>
      <c r="V8" s="2">
        <f>'20.07.2026'!E10</f>
        <v>0</v>
      </c>
      <c r="W8" s="2">
        <f>'21.07.2026'!E10</f>
        <v>0</v>
      </c>
      <c r="X8" s="2">
        <f>'22.07.2026'!E10</f>
        <v>0</v>
      </c>
      <c r="Y8" s="2">
        <f>'23.07.2026'!E10</f>
        <v>0</v>
      </c>
      <c r="Z8" s="2">
        <f>'24.07.2026'!E10</f>
        <v>0</v>
      </c>
      <c r="AA8" s="6">
        <f>'25.07.2026'!E10</f>
        <v>0</v>
      </c>
      <c r="AB8" s="6"/>
      <c r="AC8" s="2">
        <f>'27.07.2026'!E10</f>
        <v>0</v>
      </c>
      <c r="AD8" s="2">
        <f>'28.07.2026'!E10</f>
        <v>0</v>
      </c>
      <c r="AE8" s="2">
        <f>'29.07.2026'!E10</f>
        <v>0</v>
      </c>
      <c r="AF8" s="2">
        <f>'30.07.2026'!E10</f>
        <v>0</v>
      </c>
      <c r="AG8" s="58">
        <f>'31.07.2026'!E10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'01.07.2026'!E11</f>
        <v>0</v>
      </c>
      <c r="D9" s="2">
        <f>'02.07.2026'!E11</f>
        <v>0</v>
      </c>
      <c r="E9" s="2">
        <f>'03.07.2026'!E11</f>
        <v>0</v>
      </c>
      <c r="F9" s="6">
        <f>'04.07.2026'!E11</f>
        <v>0</v>
      </c>
      <c r="G9" s="6"/>
      <c r="H9" s="2">
        <f>'06.07.2026'!E11</f>
        <v>1</v>
      </c>
      <c r="I9" s="2">
        <f>'07.07.2026'!E11</f>
        <v>0</v>
      </c>
      <c r="J9" s="2">
        <f>'08.07.2026'!E11</f>
        <v>0</v>
      </c>
      <c r="K9" s="2">
        <f>'09.07.2026'!E11</f>
        <v>0</v>
      </c>
      <c r="L9" s="2">
        <f>'10.07.2026'!E11</f>
        <v>0</v>
      </c>
      <c r="M9" s="6">
        <f>'11.07.2026'!E11</f>
        <v>0</v>
      </c>
      <c r="N9" s="6"/>
      <c r="O9" s="2">
        <f>'13.07.2026'!E11</f>
        <v>0</v>
      </c>
      <c r="P9" s="2">
        <f>'14.07.2026'!E11</f>
        <v>0</v>
      </c>
      <c r="Q9" s="2">
        <f>'15.07.2026'!E11</f>
        <v>0</v>
      </c>
      <c r="R9" s="2">
        <f>'16.07.2026'!E11</f>
        <v>0</v>
      </c>
      <c r="S9" s="2">
        <f>'17.07.2026'!E11</f>
        <v>0</v>
      </c>
      <c r="T9" s="6">
        <f>'18.07.2026'!E11</f>
        <v>0</v>
      </c>
      <c r="U9" s="6"/>
      <c r="V9" s="2">
        <f>'20.07.2026'!E11</f>
        <v>0</v>
      </c>
      <c r="W9" s="2">
        <f>'21.07.2026'!E11</f>
        <v>0</v>
      </c>
      <c r="X9" s="2">
        <f>'22.07.2026'!E11</f>
        <v>0</v>
      </c>
      <c r="Y9" s="2">
        <f>'23.07.2026'!E11</f>
        <v>0</v>
      </c>
      <c r="Z9" s="2">
        <f>'24.07.2026'!E11</f>
        <v>0</v>
      </c>
      <c r="AA9" s="6">
        <f>'25.07.2026'!E11</f>
        <v>0</v>
      </c>
      <c r="AB9" s="6"/>
      <c r="AC9" s="2">
        <f>'27.07.2026'!E11</f>
        <v>0</v>
      </c>
      <c r="AD9" s="2">
        <f>'28.07.2026'!E11</f>
        <v>0</v>
      </c>
      <c r="AE9" s="2">
        <f>'29.07.2026'!E11</f>
        <v>0</v>
      </c>
      <c r="AF9" s="2">
        <f>'30.07.2026'!E11</f>
        <v>0</v>
      </c>
      <c r="AG9" s="58">
        <f>'31.07.2026'!E11</f>
        <v>0</v>
      </c>
      <c r="AH9"/>
      <c r="AI9" s="22">
        <f t="shared" si="0"/>
        <v>1</v>
      </c>
    </row>
    <row r="10" spans="1:35" ht="17.25" customHeight="1" x14ac:dyDescent="0.25">
      <c r="A10" s="4">
        <v>8</v>
      </c>
      <c r="B10" s="1" t="s">
        <v>11</v>
      </c>
      <c r="C10" s="2">
        <f>'01.07.2026'!E12</f>
        <v>0</v>
      </c>
      <c r="D10" s="2">
        <f>'02.07.2026'!E12</f>
        <v>0</v>
      </c>
      <c r="E10" s="2">
        <f>'03.07.2026'!E12</f>
        <v>0</v>
      </c>
      <c r="F10" s="6">
        <f>'04.07.2026'!E12</f>
        <v>0</v>
      </c>
      <c r="G10" s="6"/>
      <c r="H10" s="2">
        <f>'06.07.2026'!E12</f>
        <v>3</v>
      </c>
      <c r="I10" s="2">
        <f>'07.07.2026'!E12</f>
        <v>0</v>
      </c>
      <c r="J10" s="2">
        <f>'08.07.2026'!E12</f>
        <v>0</v>
      </c>
      <c r="K10" s="2">
        <f>'09.07.2026'!E12</f>
        <v>0</v>
      </c>
      <c r="L10" s="2">
        <f>'10.07.2026'!E12</f>
        <v>0</v>
      </c>
      <c r="M10" s="6">
        <f>'11.07.2026'!E12</f>
        <v>0</v>
      </c>
      <c r="N10" s="6"/>
      <c r="O10" s="2">
        <f>'13.07.2026'!E12</f>
        <v>0</v>
      </c>
      <c r="P10" s="2">
        <f>'14.07.2026'!E12</f>
        <v>0</v>
      </c>
      <c r="Q10" s="2">
        <f>'15.07.2026'!E12</f>
        <v>0</v>
      </c>
      <c r="R10" s="2">
        <f>'16.07.2026'!E12</f>
        <v>0</v>
      </c>
      <c r="S10" s="2">
        <f>'17.07.2026'!E12</f>
        <v>0</v>
      </c>
      <c r="T10" s="6">
        <f>'18.07.2026'!E12</f>
        <v>0</v>
      </c>
      <c r="U10" s="6"/>
      <c r="V10" s="2">
        <f>'20.07.2026'!E12</f>
        <v>0</v>
      </c>
      <c r="W10" s="2">
        <f>'21.07.2026'!E12</f>
        <v>0</v>
      </c>
      <c r="X10" s="2">
        <f>'22.07.2026'!E12</f>
        <v>0</v>
      </c>
      <c r="Y10" s="2">
        <f>'23.07.2026'!E12</f>
        <v>0</v>
      </c>
      <c r="Z10" s="2">
        <f>'24.07.2026'!E12</f>
        <v>0</v>
      </c>
      <c r="AA10" s="6">
        <f>'25.07.2026'!E12</f>
        <v>0</v>
      </c>
      <c r="AB10" s="6"/>
      <c r="AC10" s="2">
        <f>'27.07.2026'!E12</f>
        <v>0</v>
      </c>
      <c r="AD10" s="2">
        <f>'28.07.2026'!E12</f>
        <v>0</v>
      </c>
      <c r="AE10" s="2">
        <f>'29.07.2026'!E12</f>
        <v>0</v>
      </c>
      <c r="AF10" s="2">
        <f>'30.07.2026'!E12</f>
        <v>0</v>
      </c>
      <c r="AG10" s="58">
        <f>'31.07.2026'!E12</f>
        <v>0</v>
      </c>
      <c r="AH10"/>
      <c r="AI10" s="22">
        <f t="shared" si="0"/>
        <v>3</v>
      </c>
    </row>
    <row r="11" spans="1:35" ht="17.25" customHeight="1" thickBot="1" x14ac:dyDescent="0.3">
      <c r="A11" s="13">
        <v>9</v>
      </c>
      <c r="B11" s="10" t="s">
        <v>12</v>
      </c>
      <c r="C11" s="2">
        <f>'01.07.2026'!E13</f>
        <v>25</v>
      </c>
      <c r="D11" s="2">
        <f>'02.07.2026'!E13</f>
        <v>9</v>
      </c>
      <c r="E11" s="2">
        <f>'03.07.2026'!E13</f>
        <v>0</v>
      </c>
      <c r="F11" s="6">
        <f>'04.07.2026'!E13</f>
        <v>0</v>
      </c>
      <c r="G11" s="6"/>
      <c r="H11" s="2">
        <f>'06.07.2026'!E13</f>
        <v>0</v>
      </c>
      <c r="I11" s="2">
        <f>'07.07.2026'!E13</f>
        <v>0</v>
      </c>
      <c r="J11" s="2">
        <f>'08.07.2026'!E13</f>
        <v>0</v>
      </c>
      <c r="K11" s="2">
        <f>'09.07.2026'!E13</f>
        <v>0</v>
      </c>
      <c r="L11" s="2">
        <f>'10.07.2026'!E13</f>
        <v>0</v>
      </c>
      <c r="M11" s="6">
        <f>'11.07.2026'!E13</f>
        <v>0</v>
      </c>
      <c r="N11" s="6"/>
      <c r="O11" s="2">
        <f>'13.07.2026'!E13</f>
        <v>0</v>
      </c>
      <c r="P11" s="2">
        <f>'14.07.2026'!E13</f>
        <v>0</v>
      </c>
      <c r="Q11" s="2">
        <f>'15.07.2026'!E13</f>
        <v>0</v>
      </c>
      <c r="R11" s="2">
        <f>'16.07.2026'!E13</f>
        <v>0</v>
      </c>
      <c r="S11" s="2">
        <f>'17.07.2026'!E13</f>
        <v>0</v>
      </c>
      <c r="T11" s="6">
        <f>'18.07.2026'!E13</f>
        <v>0</v>
      </c>
      <c r="U11" s="6"/>
      <c r="V11" s="2">
        <f>'20.07.2026'!E13</f>
        <v>0</v>
      </c>
      <c r="W11" s="2">
        <f>'21.07.2026'!E13</f>
        <v>36</v>
      </c>
      <c r="X11" s="2">
        <f>'22.07.2026'!E13</f>
        <v>30</v>
      </c>
      <c r="Y11" s="2">
        <f>'23.07.2026'!E13</f>
        <v>22</v>
      </c>
      <c r="Z11" s="2">
        <f>'24.07.2026'!E13</f>
        <v>28</v>
      </c>
      <c r="AA11" s="6">
        <f>'25.07.2026'!E13</f>
        <v>0</v>
      </c>
      <c r="AB11" s="6"/>
      <c r="AC11" s="2">
        <f>'27.07.2026'!E13</f>
        <v>30</v>
      </c>
      <c r="AD11" s="2">
        <f>'28.07.2026'!E13</f>
        <v>20</v>
      </c>
      <c r="AE11" s="2">
        <f>'29.07.2026'!E13</f>
        <v>40</v>
      </c>
      <c r="AF11" s="2">
        <f>'30.07.2026'!E13</f>
        <v>20</v>
      </c>
      <c r="AG11" s="58">
        <f>'31.07.2026'!E13</f>
        <v>30</v>
      </c>
      <c r="AH11"/>
      <c r="AI11" s="22">
        <f t="shared" si="0"/>
        <v>260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79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'01.07.2026'!E16</f>
        <v>0</v>
      </c>
      <c r="D14" s="2">
        <f>'02.07.2026'!E16</f>
        <v>3</v>
      </c>
      <c r="E14" s="2">
        <f>'03.07.2026'!E16</f>
        <v>0</v>
      </c>
      <c r="F14" s="6">
        <f>'04.07.2026'!E16</f>
        <v>2</v>
      </c>
      <c r="G14" s="6"/>
      <c r="H14" s="2">
        <f>'06.07.2026'!E16</f>
        <v>5</v>
      </c>
      <c r="I14" s="2">
        <f>'07.07.2026'!E16</f>
        <v>3</v>
      </c>
      <c r="J14" s="2">
        <f>'08.07.2026'!E16</f>
        <v>14</v>
      </c>
      <c r="K14" s="2">
        <f>'09.07.2026'!E16</f>
        <v>8</v>
      </c>
      <c r="L14" s="2">
        <f>'10.07.2026'!E16</f>
        <v>12</v>
      </c>
      <c r="M14" s="6">
        <f>'11.07.2026'!E16</f>
        <v>0</v>
      </c>
      <c r="N14" s="6"/>
      <c r="O14" s="2">
        <f>'13.07.2026'!E16</f>
        <v>12</v>
      </c>
      <c r="P14" s="2">
        <f>'14.07.2026'!E16</f>
        <v>11</v>
      </c>
      <c r="Q14" s="2">
        <f>'15.07.2026'!E16</f>
        <v>10</v>
      </c>
      <c r="R14" s="2">
        <f>'16.07.2026'!E16</f>
        <v>21</v>
      </c>
      <c r="S14" s="2">
        <f>'17.07.2026'!E16</f>
        <v>10</v>
      </c>
      <c r="T14" s="6">
        <f>'18.07.2026'!E16</f>
        <v>0</v>
      </c>
      <c r="U14" s="6"/>
      <c r="V14" s="2">
        <f>'20.07.2026'!E16</f>
        <v>10</v>
      </c>
      <c r="W14" s="2">
        <f>'21.07.2026'!E16</f>
        <v>0</v>
      </c>
      <c r="X14" s="2">
        <f>'22.07.2026'!E16</f>
        <v>4</v>
      </c>
      <c r="Y14" s="2">
        <f>'23.07.2026'!E16</f>
        <v>1</v>
      </c>
      <c r="Z14" s="2">
        <f>'24.07.2026'!E16</f>
        <v>0</v>
      </c>
      <c r="AA14" s="6">
        <f>'25.07.2026'!E16</f>
        <v>0</v>
      </c>
      <c r="AB14" s="6"/>
      <c r="AC14" s="2">
        <f>'27.07.2026'!E16</f>
        <v>0</v>
      </c>
      <c r="AD14" s="2">
        <f>'28.07.2026'!E16</f>
        <v>1</v>
      </c>
      <c r="AE14" s="2">
        <f>'29.07.2026'!E16</f>
        <v>0</v>
      </c>
      <c r="AF14" s="2">
        <f>'30.07.2026'!E16</f>
        <v>0</v>
      </c>
      <c r="AG14" s="58">
        <f>'31.07.2026'!E16</f>
        <v>0</v>
      </c>
      <c r="AH14"/>
      <c r="AI14" s="22">
        <f t="shared" ref="AI14:AI24" si="1">SUM(C14:AF14)</f>
        <v>127</v>
      </c>
    </row>
    <row r="15" spans="1:35" ht="17.25" customHeight="1" x14ac:dyDescent="0.25">
      <c r="A15" s="4">
        <v>2</v>
      </c>
      <c r="B15" s="1" t="s">
        <v>15</v>
      </c>
      <c r="C15" s="2">
        <f>'01.07.2026'!E17</f>
        <v>0</v>
      </c>
      <c r="D15" s="2">
        <f>'02.07.2026'!E17</f>
        <v>0</v>
      </c>
      <c r="E15" s="2">
        <f>'03.07.2026'!E17</f>
        <v>0</v>
      </c>
      <c r="F15" s="6">
        <f>'04.07.2026'!E17</f>
        <v>0</v>
      </c>
      <c r="G15" s="6"/>
      <c r="H15" s="2">
        <f>'06.07.2026'!E17</f>
        <v>0</v>
      </c>
      <c r="I15" s="2">
        <f>'07.07.2026'!E17</f>
        <v>1</v>
      </c>
      <c r="J15" s="2">
        <f>'08.07.2026'!E17</f>
        <v>1</v>
      </c>
      <c r="K15" s="2">
        <f>'09.07.2026'!E17</f>
        <v>0</v>
      </c>
      <c r="L15" s="2">
        <f>'10.07.2026'!E17</f>
        <v>0</v>
      </c>
      <c r="M15" s="6">
        <f>'11.07.2026'!E17</f>
        <v>0</v>
      </c>
      <c r="N15" s="6"/>
      <c r="O15" s="2">
        <f>'13.07.2026'!E17</f>
        <v>0</v>
      </c>
      <c r="P15" s="2">
        <f>'14.07.2026'!E17</f>
        <v>0</v>
      </c>
      <c r="Q15" s="2">
        <f>'15.07.2026'!E17</f>
        <v>0</v>
      </c>
      <c r="R15" s="2">
        <f>'16.07.2026'!E17</f>
        <v>0</v>
      </c>
      <c r="S15" s="2">
        <f>'17.07.2026'!E17</f>
        <v>0</v>
      </c>
      <c r="T15" s="6">
        <f>'18.07.2026'!E17</f>
        <v>0</v>
      </c>
      <c r="U15" s="6"/>
      <c r="V15" s="2">
        <f>'20.07.2026'!E17</f>
        <v>0</v>
      </c>
      <c r="W15" s="2">
        <f>'21.07.2026'!E17</f>
        <v>1</v>
      </c>
      <c r="X15" s="2">
        <f>'22.07.2026'!E17</f>
        <v>0</v>
      </c>
      <c r="Y15" s="2">
        <f>'23.07.2026'!E17</f>
        <v>0</v>
      </c>
      <c r="Z15" s="2">
        <f>'24.07.2026'!E17</f>
        <v>0</v>
      </c>
      <c r="AA15" s="6">
        <f>'25.07.2026'!E17</f>
        <v>0</v>
      </c>
      <c r="AB15" s="6"/>
      <c r="AC15" s="2">
        <f>'27.07.2026'!E17</f>
        <v>1</v>
      </c>
      <c r="AD15" s="2">
        <f>'28.07.2026'!E17</f>
        <v>0</v>
      </c>
      <c r="AE15" s="2">
        <f>'29.07.2026'!E17</f>
        <v>0</v>
      </c>
      <c r="AF15" s="2">
        <f>'30.07.2026'!E17</f>
        <v>0</v>
      </c>
      <c r="AG15" s="58">
        <f>'31.07.2026'!E17</f>
        <v>1</v>
      </c>
      <c r="AH15"/>
      <c r="AI15" s="22">
        <f t="shared" si="1"/>
        <v>4</v>
      </c>
    </row>
    <row r="16" spans="1:35" ht="17.25" customHeight="1" x14ac:dyDescent="0.25">
      <c r="A16" s="4">
        <v>3</v>
      </c>
      <c r="B16" s="1" t="s">
        <v>16</v>
      </c>
      <c r="C16" s="2">
        <f>'01.07.2026'!E18</f>
        <v>0</v>
      </c>
      <c r="D16" s="2">
        <f>'02.07.2026'!E18</f>
        <v>3</v>
      </c>
      <c r="E16" s="2">
        <f>'03.07.2026'!E18</f>
        <v>0</v>
      </c>
      <c r="F16" s="6">
        <f>'04.07.2026'!E18</f>
        <v>0</v>
      </c>
      <c r="G16" s="6"/>
      <c r="H16" s="2">
        <f>'06.07.2026'!E18</f>
        <v>0</v>
      </c>
      <c r="I16" s="2">
        <f>'07.07.2026'!E18</f>
        <v>0</v>
      </c>
      <c r="J16" s="2">
        <f>'08.07.2026'!E18</f>
        <v>0</v>
      </c>
      <c r="K16" s="2">
        <f>'09.07.2026'!E18</f>
        <v>0</v>
      </c>
      <c r="L16" s="2">
        <f>'10.07.2026'!E18</f>
        <v>0</v>
      </c>
      <c r="M16" s="6">
        <f>'11.07.2026'!E18</f>
        <v>0</v>
      </c>
      <c r="N16" s="6"/>
      <c r="O16" s="2">
        <f>'13.07.2026'!E18</f>
        <v>0</v>
      </c>
      <c r="P16" s="2">
        <f>'14.07.2026'!E18</f>
        <v>0</v>
      </c>
      <c r="Q16" s="2">
        <f>'15.07.2026'!E18</f>
        <v>1</v>
      </c>
      <c r="R16" s="2">
        <f>'16.07.2026'!E18</f>
        <v>0</v>
      </c>
      <c r="S16" s="2">
        <f>'17.07.2026'!E18</f>
        <v>0</v>
      </c>
      <c r="T16" s="6">
        <f>'18.07.2026'!E18</f>
        <v>0</v>
      </c>
      <c r="U16" s="6"/>
      <c r="V16" s="2">
        <f>'20.07.2026'!E18</f>
        <v>0</v>
      </c>
      <c r="W16" s="2">
        <f>'21.07.2026'!E18</f>
        <v>0</v>
      </c>
      <c r="X16" s="2">
        <f>'22.07.2026'!E18</f>
        <v>0</v>
      </c>
      <c r="Y16" s="2">
        <f>'23.07.2026'!E18</f>
        <v>0</v>
      </c>
      <c r="Z16" s="2">
        <f>'24.07.2026'!E18</f>
        <v>0</v>
      </c>
      <c r="AA16" s="6">
        <f>'25.07.2026'!E18</f>
        <v>0</v>
      </c>
      <c r="AB16" s="6"/>
      <c r="AC16" s="2">
        <f>'27.07.2026'!E18</f>
        <v>0</v>
      </c>
      <c r="AD16" s="2">
        <f>'28.07.2026'!E18</f>
        <v>0</v>
      </c>
      <c r="AE16" s="2">
        <f>'29.07.2026'!E18</f>
        <v>0</v>
      </c>
      <c r="AF16" s="2">
        <f>'30.07.2026'!E18</f>
        <v>0</v>
      </c>
      <c r="AG16" s="58">
        <f>'31.07.2026'!E18</f>
        <v>0</v>
      </c>
      <c r="AH16"/>
      <c r="AI16" s="22">
        <f t="shared" si="1"/>
        <v>4</v>
      </c>
    </row>
    <row r="17" spans="1:35" ht="17.25" customHeight="1" x14ac:dyDescent="0.25">
      <c r="A17" s="4">
        <v>4</v>
      </c>
      <c r="B17" s="1" t="s">
        <v>17</v>
      </c>
      <c r="C17" s="2">
        <f>'01.07.2026'!E19</f>
        <v>0</v>
      </c>
      <c r="D17" s="2">
        <f>'02.07.2026'!E19</f>
        <v>0</v>
      </c>
      <c r="E17" s="2">
        <f>'03.07.2026'!E19</f>
        <v>0</v>
      </c>
      <c r="F17" s="6">
        <f>'04.07.2026'!E19</f>
        <v>0</v>
      </c>
      <c r="G17" s="6"/>
      <c r="H17" s="2">
        <f>'06.07.2026'!E19</f>
        <v>0</v>
      </c>
      <c r="I17" s="2">
        <f>'07.07.2026'!E19</f>
        <v>0</v>
      </c>
      <c r="J17" s="2">
        <f>'08.07.2026'!E19</f>
        <v>0</v>
      </c>
      <c r="K17" s="2">
        <f>'09.07.2026'!E19</f>
        <v>0</v>
      </c>
      <c r="L17" s="2">
        <f>'10.07.2026'!E19</f>
        <v>1</v>
      </c>
      <c r="M17" s="6">
        <f>'11.07.2026'!E19</f>
        <v>0</v>
      </c>
      <c r="N17" s="6"/>
      <c r="O17" s="2">
        <f>'13.07.2026'!E19</f>
        <v>0</v>
      </c>
      <c r="P17" s="2">
        <f>'14.07.2026'!E19</f>
        <v>0</v>
      </c>
      <c r="Q17" s="2">
        <f>'15.07.2026'!E19</f>
        <v>0</v>
      </c>
      <c r="R17" s="2">
        <f>'16.07.2026'!E19</f>
        <v>0</v>
      </c>
      <c r="S17" s="2">
        <f>'17.07.2026'!E19</f>
        <v>0</v>
      </c>
      <c r="T17" s="6">
        <f>'18.07.2026'!E19</f>
        <v>0</v>
      </c>
      <c r="U17" s="6"/>
      <c r="V17" s="2">
        <f>'20.07.2026'!E19</f>
        <v>1</v>
      </c>
      <c r="W17" s="2">
        <f>'21.07.2026'!E19</f>
        <v>0</v>
      </c>
      <c r="X17" s="2">
        <f>'22.07.2026'!E19</f>
        <v>1</v>
      </c>
      <c r="Y17" s="2">
        <f>'23.07.2026'!E19</f>
        <v>1</v>
      </c>
      <c r="Z17" s="2">
        <f>'24.07.2026'!E19</f>
        <v>1</v>
      </c>
      <c r="AA17" s="6">
        <f>'25.07.2026'!E19</f>
        <v>0</v>
      </c>
      <c r="AB17" s="6"/>
      <c r="AC17" s="2">
        <f>'27.07.2026'!E19</f>
        <v>0</v>
      </c>
      <c r="AD17" s="2">
        <f>'28.07.2026'!E19</f>
        <v>0</v>
      </c>
      <c r="AE17" s="2">
        <f>'29.07.2026'!E19</f>
        <v>0</v>
      </c>
      <c r="AF17" s="2">
        <f>'30.07.2026'!E19</f>
        <v>0</v>
      </c>
      <c r="AG17" s="58">
        <f>'31.07.2026'!E19</f>
        <v>0</v>
      </c>
      <c r="AH17"/>
      <c r="AI17" s="22">
        <f t="shared" si="1"/>
        <v>5</v>
      </c>
    </row>
    <row r="18" spans="1:35" ht="17.25" customHeight="1" x14ac:dyDescent="0.25">
      <c r="A18" s="4">
        <v>5</v>
      </c>
      <c r="B18" s="1" t="s">
        <v>10</v>
      </c>
      <c r="C18" s="2">
        <f>'01.07.2026'!E20</f>
        <v>0</v>
      </c>
      <c r="D18" s="2">
        <f>'02.07.2026'!E20</f>
        <v>0</v>
      </c>
      <c r="E18" s="2">
        <f>'03.07.2026'!E20</f>
        <v>0</v>
      </c>
      <c r="F18" s="6">
        <f>'04.07.2026'!E20</f>
        <v>0</v>
      </c>
      <c r="G18" s="6"/>
      <c r="H18" s="2">
        <f>'06.07.2026'!E20</f>
        <v>2</v>
      </c>
      <c r="I18" s="2">
        <f>'07.07.2026'!E20</f>
        <v>0</v>
      </c>
      <c r="J18" s="2">
        <f>'08.07.2026'!E20</f>
        <v>0</v>
      </c>
      <c r="K18" s="2">
        <f>'09.07.2026'!E20</f>
        <v>0</v>
      </c>
      <c r="L18" s="2">
        <f>'10.07.2026'!E20</f>
        <v>0</v>
      </c>
      <c r="M18" s="6">
        <f>'11.07.2026'!E20</f>
        <v>0</v>
      </c>
      <c r="N18" s="6"/>
      <c r="O18" s="2">
        <f>'13.07.2026'!E20</f>
        <v>0</v>
      </c>
      <c r="P18" s="2">
        <f>'14.07.2026'!E20</f>
        <v>0</v>
      </c>
      <c r="Q18" s="2">
        <f>'15.07.2026'!E20</f>
        <v>0</v>
      </c>
      <c r="R18" s="2">
        <f>'16.07.2026'!E20</f>
        <v>0</v>
      </c>
      <c r="S18" s="2">
        <f>'17.07.2026'!E20</f>
        <v>0</v>
      </c>
      <c r="T18" s="6">
        <f>'18.07.2026'!E20</f>
        <v>0</v>
      </c>
      <c r="U18" s="6"/>
      <c r="V18" s="2">
        <f>'20.07.2026'!E20</f>
        <v>0</v>
      </c>
      <c r="W18" s="2">
        <f>'21.07.2026'!E20</f>
        <v>0</v>
      </c>
      <c r="X18" s="2">
        <f>'22.07.2026'!E20</f>
        <v>0</v>
      </c>
      <c r="Y18" s="2">
        <f>'23.07.2026'!E20</f>
        <v>0</v>
      </c>
      <c r="Z18" s="2">
        <f>'24.07.2026'!E20</f>
        <v>0</v>
      </c>
      <c r="AA18" s="6">
        <f>'25.07.2026'!E20</f>
        <v>0</v>
      </c>
      <c r="AB18" s="6"/>
      <c r="AC18" s="2">
        <f>'27.07.2026'!E20</f>
        <v>0</v>
      </c>
      <c r="AD18" s="2">
        <f>'28.07.2026'!E20</f>
        <v>0</v>
      </c>
      <c r="AE18" s="2">
        <f>'29.07.2026'!E20</f>
        <v>0</v>
      </c>
      <c r="AF18" s="2">
        <f>'30.07.2026'!E20</f>
        <v>0</v>
      </c>
      <c r="AG18" s="58">
        <f>'31.07.2026'!E20</f>
        <v>0</v>
      </c>
      <c r="AH18"/>
      <c r="AI18" s="22">
        <f t="shared" si="1"/>
        <v>2</v>
      </c>
    </row>
    <row r="19" spans="1:35" ht="17.25" customHeight="1" x14ac:dyDescent="0.25">
      <c r="A19" s="4">
        <v>6</v>
      </c>
      <c r="B19" s="1" t="s">
        <v>18</v>
      </c>
      <c r="C19" s="2">
        <f>'01.07.2026'!E21</f>
        <v>0</v>
      </c>
      <c r="D19" s="2">
        <f>'02.07.2026'!E21</f>
        <v>0</v>
      </c>
      <c r="E19" s="2">
        <f>'03.07.2026'!E21</f>
        <v>0</v>
      </c>
      <c r="F19" s="6">
        <f>'04.07.2026'!E21</f>
        <v>0</v>
      </c>
      <c r="G19" s="6"/>
      <c r="H19" s="2">
        <f>'06.07.2026'!E21</f>
        <v>0</v>
      </c>
      <c r="I19" s="2">
        <f>'07.07.2026'!E21</f>
        <v>0</v>
      </c>
      <c r="J19" s="2">
        <f>'08.07.2026'!E21</f>
        <v>0</v>
      </c>
      <c r="K19" s="2">
        <f>'09.07.2026'!E21</f>
        <v>0</v>
      </c>
      <c r="L19" s="2">
        <f>'10.07.2026'!E21</f>
        <v>0</v>
      </c>
      <c r="M19" s="6">
        <f>'11.07.2026'!E21</f>
        <v>0</v>
      </c>
      <c r="N19" s="6"/>
      <c r="O19" s="2">
        <f>'13.07.2026'!E21</f>
        <v>0</v>
      </c>
      <c r="P19" s="2">
        <f>'14.07.2026'!E21</f>
        <v>1</v>
      </c>
      <c r="Q19" s="2">
        <f>'15.07.2026'!E21</f>
        <v>0</v>
      </c>
      <c r="R19" s="2">
        <f>'16.07.2026'!E21</f>
        <v>0</v>
      </c>
      <c r="S19" s="2">
        <f>'17.07.2026'!E21</f>
        <v>0</v>
      </c>
      <c r="T19" s="6">
        <f>'18.07.2026'!E21</f>
        <v>0</v>
      </c>
      <c r="U19" s="6"/>
      <c r="V19" s="2">
        <f>'20.07.2026'!E21</f>
        <v>0</v>
      </c>
      <c r="W19" s="2">
        <f>'21.07.2026'!E21</f>
        <v>0</v>
      </c>
      <c r="X19" s="2">
        <f>'22.07.2026'!E21</f>
        <v>0</v>
      </c>
      <c r="Y19" s="2">
        <f>'23.07.2026'!E21</f>
        <v>0</v>
      </c>
      <c r="Z19" s="2">
        <f>'24.07.2026'!E21</f>
        <v>0</v>
      </c>
      <c r="AA19" s="6">
        <f>'25.07.2026'!E21</f>
        <v>0</v>
      </c>
      <c r="AB19" s="6"/>
      <c r="AC19" s="2">
        <f>'27.07.2026'!E21</f>
        <v>0</v>
      </c>
      <c r="AD19" s="2">
        <f>'28.07.2026'!E21</f>
        <v>0</v>
      </c>
      <c r="AE19" s="2">
        <f>'29.07.2026'!E21</f>
        <v>0</v>
      </c>
      <c r="AF19" s="2">
        <f>'30.07.2026'!E21</f>
        <v>0</v>
      </c>
      <c r="AG19" s="58">
        <f>'31.07.2026'!E21</f>
        <v>0</v>
      </c>
      <c r="AH19"/>
      <c r="AI19" s="22">
        <f t="shared" si="1"/>
        <v>1</v>
      </c>
    </row>
    <row r="20" spans="1:35" ht="17.25" customHeight="1" x14ac:dyDescent="0.25">
      <c r="A20" s="4">
        <v>7</v>
      </c>
      <c r="B20" s="17" t="s">
        <v>19</v>
      </c>
      <c r="C20" s="2">
        <f>'01.07.2026'!E22</f>
        <v>0</v>
      </c>
      <c r="D20" s="2">
        <f>'02.07.2026'!E22</f>
        <v>0</v>
      </c>
      <c r="E20" s="2">
        <f>'03.07.2026'!E22</f>
        <v>0</v>
      </c>
      <c r="F20" s="6">
        <f>'04.07.2026'!E22</f>
        <v>0</v>
      </c>
      <c r="G20" s="6"/>
      <c r="H20" s="2">
        <f>'06.07.2026'!E22</f>
        <v>0</v>
      </c>
      <c r="I20" s="2">
        <f>'07.07.2026'!E22</f>
        <v>0</v>
      </c>
      <c r="J20" s="2">
        <f>'08.07.2026'!E22</f>
        <v>0</v>
      </c>
      <c r="K20" s="2">
        <f>'09.07.2026'!E22</f>
        <v>0</v>
      </c>
      <c r="L20" s="2">
        <f>'10.07.2026'!E22</f>
        <v>0</v>
      </c>
      <c r="M20" s="6">
        <f>'11.07.2026'!E22</f>
        <v>0</v>
      </c>
      <c r="N20" s="6"/>
      <c r="O20" s="2">
        <f>'13.07.2026'!E22</f>
        <v>0</v>
      </c>
      <c r="P20" s="2">
        <f>'14.07.2026'!E22</f>
        <v>0</v>
      </c>
      <c r="Q20" s="2">
        <f>'15.07.2026'!E22</f>
        <v>0</v>
      </c>
      <c r="R20" s="2">
        <f>'16.07.2026'!E22</f>
        <v>0</v>
      </c>
      <c r="S20" s="2">
        <f>'17.07.2026'!E22</f>
        <v>0</v>
      </c>
      <c r="T20" s="6">
        <f>'18.07.2026'!E22</f>
        <v>0</v>
      </c>
      <c r="U20" s="6"/>
      <c r="V20" s="2">
        <f>'20.07.2026'!E22</f>
        <v>0</v>
      </c>
      <c r="W20" s="2">
        <f>'21.07.2026'!E22</f>
        <v>0</v>
      </c>
      <c r="X20" s="2">
        <f>'22.07.2026'!E22</f>
        <v>0</v>
      </c>
      <c r="Y20" s="2">
        <f>'23.07.2026'!E22</f>
        <v>0</v>
      </c>
      <c r="Z20" s="2">
        <f>'24.07.2026'!E22</f>
        <v>0</v>
      </c>
      <c r="AA20" s="6">
        <f>'25.07.2026'!E22</f>
        <v>0</v>
      </c>
      <c r="AB20" s="6"/>
      <c r="AC20" s="2">
        <f>'27.07.2026'!E22</f>
        <v>0</v>
      </c>
      <c r="AD20" s="2">
        <f>'28.07.2026'!E22</f>
        <v>0</v>
      </c>
      <c r="AE20" s="2">
        <f>'29.07.2026'!E22</f>
        <v>0</v>
      </c>
      <c r="AF20" s="2">
        <f>'30.07.2026'!E22</f>
        <v>0</v>
      </c>
      <c r="AG20" s="58">
        <f>'31.07.2026'!E22</f>
        <v>0</v>
      </c>
      <c r="AH20"/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'01.07.2026'!E23</f>
        <v>0</v>
      </c>
      <c r="D21" s="2">
        <f>'02.07.2026'!E23</f>
        <v>0</v>
      </c>
      <c r="E21" s="2">
        <f>'03.07.2026'!E23</f>
        <v>0</v>
      </c>
      <c r="F21" s="6">
        <f>'04.07.2026'!E23</f>
        <v>0</v>
      </c>
      <c r="G21" s="6"/>
      <c r="H21" s="2">
        <f>'06.07.2026'!E23</f>
        <v>0</v>
      </c>
      <c r="I21" s="2">
        <f>'07.07.2026'!E23</f>
        <v>0</v>
      </c>
      <c r="J21" s="2">
        <f>'08.07.2026'!E23</f>
        <v>0</v>
      </c>
      <c r="K21" s="2">
        <f>'09.07.2026'!E23</f>
        <v>0</v>
      </c>
      <c r="L21" s="2">
        <f>'10.07.2026'!E23</f>
        <v>0</v>
      </c>
      <c r="M21" s="6">
        <f>'11.07.2026'!E23</f>
        <v>0</v>
      </c>
      <c r="N21" s="6"/>
      <c r="O21" s="2">
        <f>'13.07.2026'!E23</f>
        <v>0</v>
      </c>
      <c r="P21" s="2">
        <f>'14.07.2026'!E23</f>
        <v>0</v>
      </c>
      <c r="Q21" s="2">
        <f>'15.07.2026'!E23</f>
        <v>0</v>
      </c>
      <c r="R21" s="2">
        <f>'16.07.2026'!E23</f>
        <v>0</v>
      </c>
      <c r="S21" s="2">
        <f>'17.07.2026'!E23</f>
        <v>0</v>
      </c>
      <c r="T21" s="6">
        <f>'18.07.2026'!E23</f>
        <v>0</v>
      </c>
      <c r="U21" s="6"/>
      <c r="V21" s="2">
        <f>'20.07.2026'!E23</f>
        <v>0</v>
      </c>
      <c r="W21" s="2">
        <f>'21.07.2026'!E23</f>
        <v>0</v>
      </c>
      <c r="X21" s="2">
        <f>'22.07.2026'!E23</f>
        <v>0</v>
      </c>
      <c r="Y21" s="2">
        <f>'23.07.2026'!E23</f>
        <v>0</v>
      </c>
      <c r="Z21" s="2">
        <f>'24.07.2026'!E23</f>
        <v>0</v>
      </c>
      <c r="AA21" s="6">
        <f>'25.07.2026'!E23</f>
        <v>0</v>
      </c>
      <c r="AB21" s="6"/>
      <c r="AC21" s="2">
        <f>'27.07.2026'!E23</f>
        <v>0</v>
      </c>
      <c r="AD21" s="2">
        <f>'28.07.2026'!E23</f>
        <v>0</v>
      </c>
      <c r="AE21" s="2">
        <f>'29.07.2026'!E23</f>
        <v>0</v>
      </c>
      <c r="AF21" s="2">
        <f>'30.07.2026'!E23</f>
        <v>0</v>
      </c>
      <c r="AG21" s="58">
        <f>'31.07.2026'!E23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'01.07.2026'!E24</f>
        <v>0</v>
      </c>
      <c r="D22" s="2">
        <f>'02.07.2026'!E24</f>
        <v>0</v>
      </c>
      <c r="E22" s="2">
        <f>'03.07.2026'!E24</f>
        <v>0</v>
      </c>
      <c r="F22" s="6">
        <f>'04.07.2026'!E24</f>
        <v>0</v>
      </c>
      <c r="G22" s="6"/>
      <c r="H22" s="2">
        <f>'06.07.2026'!E24</f>
        <v>0</v>
      </c>
      <c r="I22" s="2">
        <f>'07.07.2026'!E24</f>
        <v>0</v>
      </c>
      <c r="J22" s="2">
        <f>'08.07.2026'!E24</f>
        <v>0</v>
      </c>
      <c r="K22" s="2">
        <f>'09.07.2026'!E24</f>
        <v>0</v>
      </c>
      <c r="L22" s="2">
        <f>'10.07.2026'!E24</f>
        <v>0</v>
      </c>
      <c r="M22" s="6">
        <f>'11.07.2026'!E24</f>
        <v>0</v>
      </c>
      <c r="N22" s="6"/>
      <c r="O22" s="2">
        <f>'13.07.2026'!E24</f>
        <v>0</v>
      </c>
      <c r="P22" s="2">
        <f>'14.07.2026'!E24</f>
        <v>0</v>
      </c>
      <c r="Q22" s="2">
        <f>'15.07.2026'!E24</f>
        <v>0</v>
      </c>
      <c r="R22" s="2">
        <f>'16.07.2026'!E24</f>
        <v>0</v>
      </c>
      <c r="S22" s="2">
        <f>'17.07.2026'!E24</f>
        <v>0</v>
      </c>
      <c r="T22" s="6">
        <f>'18.07.2026'!E24</f>
        <v>0</v>
      </c>
      <c r="U22" s="6"/>
      <c r="V22" s="2">
        <f>'20.07.2026'!E24</f>
        <v>0</v>
      </c>
      <c r="W22" s="2">
        <f>'21.07.2026'!E24</f>
        <v>0</v>
      </c>
      <c r="X22" s="2">
        <f>'22.07.2026'!E24</f>
        <v>0</v>
      </c>
      <c r="Y22" s="2">
        <f>'23.07.2026'!E24</f>
        <v>0</v>
      </c>
      <c r="Z22" s="2">
        <f>'24.07.2026'!E24</f>
        <v>0</v>
      </c>
      <c r="AA22" s="6">
        <f>'25.07.2026'!E24</f>
        <v>0</v>
      </c>
      <c r="AB22" s="6"/>
      <c r="AC22" s="2">
        <f>'27.07.2026'!E24</f>
        <v>0</v>
      </c>
      <c r="AD22" s="2">
        <f>'28.07.2026'!E24</f>
        <v>0</v>
      </c>
      <c r="AE22" s="2">
        <f>'29.07.2026'!E24</f>
        <v>0</v>
      </c>
      <c r="AF22" s="2">
        <f>'30.07.2026'!E24</f>
        <v>0</v>
      </c>
      <c r="AG22" s="58">
        <f>'31.07.2026'!E24</f>
        <v>0</v>
      </c>
      <c r="AH22"/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'01.07.2026'!E25</f>
        <v>0</v>
      </c>
      <c r="D23" s="2">
        <f>'02.07.2026'!E25</f>
        <v>0</v>
      </c>
      <c r="E23" s="2">
        <f>'03.07.2026'!E25</f>
        <v>0</v>
      </c>
      <c r="F23" s="6">
        <f>'04.07.2026'!E25</f>
        <v>0</v>
      </c>
      <c r="G23" s="6"/>
      <c r="H23" s="2">
        <f>'06.07.2026'!E25</f>
        <v>0</v>
      </c>
      <c r="I23" s="2">
        <f>'07.07.2026'!E25</f>
        <v>0</v>
      </c>
      <c r="J23" s="2">
        <f>'08.07.2026'!E25</f>
        <v>0</v>
      </c>
      <c r="K23" s="2">
        <f>'09.07.2026'!E25</f>
        <v>0</v>
      </c>
      <c r="L23" s="2">
        <f>'10.07.2026'!E25</f>
        <v>0</v>
      </c>
      <c r="M23" s="6">
        <f>'11.07.2026'!E25</f>
        <v>0</v>
      </c>
      <c r="N23" s="6"/>
      <c r="O23" s="2">
        <f>'13.07.2026'!E25</f>
        <v>0</v>
      </c>
      <c r="P23" s="2">
        <f>'14.07.2026'!E25</f>
        <v>0</v>
      </c>
      <c r="Q23" s="2">
        <f>'15.07.2026'!E25</f>
        <v>0</v>
      </c>
      <c r="R23" s="2">
        <f>'16.07.2026'!E25</f>
        <v>0</v>
      </c>
      <c r="S23" s="2">
        <f>'17.07.2026'!E25</f>
        <v>0</v>
      </c>
      <c r="T23" s="6">
        <f>'18.07.2026'!E25</f>
        <v>0</v>
      </c>
      <c r="U23" s="6"/>
      <c r="V23" s="2">
        <f>'20.07.2026'!E25</f>
        <v>0</v>
      </c>
      <c r="W23" s="2">
        <f>'21.07.2026'!E25</f>
        <v>0</v>
      </c>
      <c r="X23" s="2">
        <f>'22.07.2026'!E25</f>
        <v>0</v>
      </c>
      <c r="Y23" s="2">
        <f>'23.07.2026'!E25</f>
        <v>0</v>
      </c>
      <c r="Z23" s="2">
        <f>'24.07.2026'!E25</f>
        <v>0</v>
      </c>
      <c r="AA23" s="6">
        <f>'25.07.2026'!E25</f>
        <v>0</v>
      </c>
      <c r="AB23" s="6"/>
      <c r="AC23" s="2">
        <f>'27.07.2026'!E25</f>
        <v>0</v>
      </c>
      <c r="AD23" s="2">
        <f>'28.07.2026'!E25</f>
        <v>0</v>
      </c>
      <c r="AE23" s="2">
        <f>'29.07.2026'!E25</f>
        <v>0</v>
      </c>
      <c r="AF23" s="2">
        <f>'30.07.2026'!E25</f>
        <v>0</v>
      </c>
      <c r="AG23" s="58">
        <f>'31.07.2026'!E25</f>
        <v>0</v>
      </c>
      <c r="AH23"/>
      <c r="AI23" s="22">
        <f t="shared" si="1"/>
        <v>0</v>
      </c>
    </row>
    <row r="24" spans="1:35" ht="17.25" customHeight="1" thickBot="1" x14ac:dyDescent="0.3">
      <c r="A24" s="13">
        <v>11</v>
      </c>
      <c r="B24" s="20" t="s">
        <v>23</v>
      </c>
      <c r="C24" s="5">
        <f>'01.07.2026'!E26</f>
        <v>0</v>
      </c>
      <c r="D24" s="5">
        <f>'02.07.2026'!E26</f>
        <v>1</v>
      </c>
      <c r="E24" s="5">
        <f>'03.07.2026'!E26</f>
        <v>0</v>
      </c>
      <c r="F24" s="7">
        <f>'04.07.2026'!E26</f>
        <v>2</v>
      </c>
      <c r="G24" s="7"/>
      <c r="H24" s="5">
        <f>'06.07.2026'!E26</f>
        <v>1</v>
      </c>
      <c r="I24" s="5">
        <f>'07.07.2026'!E26</f>
        <v>1</v>
      </c>
      <c r="J24" s="5">
        <f>'08.07.2026'!E26</f>
        <v>0</v>
      </c>
      <c r="K24" s="5">
        <f>'09.07.2026'!E26</f>
        <v>0</v>
      </c>
      <c r="L24" s="5">
        <f>'10.07.2026'!E26</f>
        <v>0</v>
      </c>
      <c r="M24" s="7">
        <f>'11.07.2026'!E26</f>
        <v>0</v>
      </c>
      <c r="N24" s="7"/>
      <c r="O24" s="5">
        <f>'13.07.2026'!E26</f>
        <v>0</v>
      </c>
      <c r="P24" s="5">
        <f>'14.07.2026'!E26</f>
        <v>1</v>
      </c>
      <c r="Q24" s="5">
        <f>'15.07.2026'!E26</f>
        <v>0</v>
      </c>
      <c r="R24" s="5">
        <f>'16.07.2026'!E26</f>
        <v>0</v>
      </c>
      <c r="S24" s="5">
        <f>'17.07.2026'!E26</f>
        <v>0</v>
      </c>
      <c r="T24" s="7">
        <f>'18.07.2026'!E26</f>
        <v>0</v>
      </c>
      <c r="U24" s="7"/>
      <c r="V24" s="5">
        <f>'20.07.2026'!E26</f>
        <v>0</v>
      </c>
      <c r="W24" s="5">
        <f>'21.07.2026'!E26</f>
        <v>1</v>
      </c>
      <c r="X24" s="5">
        <f>'22.07.2026'!E26</f>
        <v>1</v>
      </c>
      <c r="Y24" s="5">
        <f>'23.07.2026'!E26</f>
        <v>0</v>
      </c>
      <c r="Z24" s="5">
        <f>'24.07.2026'!E26</f>
        <v>1</v>
      </c>
      <c r="AA24" s="7">
        <f>'25.07.2026'!E26</f>
        <v>0</v>
      </c>
      <c r="AB24" s="7"/>
      <c r="AC24" s="5">
        <f>'27.07.2026'!E26</f>
        <v>1</v>
      </c>
      <c r="AD24" s="5">
        <f>'28.07.2026'!E26</f>
        <v>1</v>
      </c>
      <c r="AE24" s="5">
        <f>'29.07.2026'!E26</f>
        <v>0</v>
      </c>
      <c r="AF24" s="5">
        <f>'30.07.2026'!E26</f>
        <v>0</v>
      </c>
      <c r="AG24" s="59">
        <f>'31.07.2026'!E26</f>
        <v>0</v>
      </c>
      <c r="AH24"/>
      <c r="AI24" s="22">
        <f t="shared" si="1"/>
        <v>11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79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'01.07.2026'!E29</f>
        <v>0</v>
      </c>
      <c r="D27" s="2">
        <f>'02.07.2026'!E29</f>
        <v>0</v>
      </c>
      <c r="E27" s="2">
        <f>'03.07.2026'!E29</f>
        <v>0</v>
      </c>
      <c r="F27" s="6">
        <f>'04.07.2026'!E29</f>
        <v>0</v>
      </c>
      <c r="G27" s="6"/>
      <c r="H27" s="2">
        <f>'06.07.2026'!E29</f>
        <v>0</v>
      </c>
      <c r="I27" s="2">
        <f>'07.07.2026'!E29</f>
        <v>0</v>
      </c>
      <c r="J27" s="2">
        <f>'08.07.2026'!E29</f>
        <v>0</v>
      </c>
      <c r="K27" s="2">
        <f>'09.07.2026'!E29</f>
        <v>0</v>
      </c>
      <c r="L27" s="2">
        <f>'10.07.2026'!E29</f>
        <v>0</v>
      </c>
      <c r="M27" s="6">
        <f>'11.07.2026'!E29</f>
        <v>0</v>
      </c>
      <c r="N27" s="6"/>
      <c r="O27" s="2">
        <f>'13.07.2026'!E29</f>
        <v>0</v>
      </c>
      <c r="P27" s="2">
        <f>'14.07.2026'!E29</f>
        <v>0</v>
      </c>
      <c r="Q27" s="2">
        <f>'15.07.2026'!E29</f>
        <v>0</v>
      </c>
      <c r="R27" s="2">
        <f>'16.07.2026'!E29</f>
        <v>0</v>
      </c>
      <c r="S27" s="2">
        <f>'17.07.2026'!E29</f>
        <v>0</v>
      </c>
      <c r="T27" s="6">
        <f>'18.07.2026'!E29</f>
        <v>0</v>
      </c>
      <c r="U27" s="6"/>
      <c r="V27" s="2">
        <f>'20.07.2026'!E29</f>
        <v>0</v>
      </c>
      <c r="W27" s="2">
        <f>'21.07.2026'!E29</f>
        <v>0</v>
      </c>
      <c r="X27" s="2">
        <f>'22.07.2026'!E29</f>
        <v>0</v>
      </c>
      <c r="Y27" s="2">
        <f>'23.07.2026'!E29</f>
        <v>0</v>
      </c>
      <c r="Z27" s="2">
        <f>'24.07.2026'!E29</f>
        <v>0</v>
      </c>
      <c r="AA27" s="6">
        <f>'25.07.2026'!E29</f>
        <v>0</v>
      </c>
      <c r="AB27" s="6"/>
      <c r="AC27" s="2">
        <f>'27.07.2026'!E29</f>
        <v>0</v>
      </c>
      <c r="AD27" s="2">
        <f>'28.07.2026'!E29</f>
        <v>0</v>
      </c>
      <c r="AE27" s="2">
        <f>'29.07.2026'!E29</f>
        <v>0</v>
      </c>
      <c r="AF27" s="2">
        <f>'30.07.2026'!E29</f>
        <v>0</v>
      </c>
      <c r="AG27" s="58">
        <f>'31.07.2026'!E29</f>
        <v>0</v>
      </c>
      <c r="AH27"/>
      <c r="AI27" s="22">
        <f t="shared" ref="AI27:AI31" si="2">SUM(C27:AF27)</f>
        <v>0</v>
      </c>
    </row>
    <row r="28" spans="1:35" ht="17.25" customHeight="1" x14ac:dyDescent="0.25">
      <c r="A28" s="4">
        <v>2</v>
      </c>
      <c r="B28" s="18" t="s">
        <v>26</v>
      </c>
      <c r="C28" s="2">
        <f>'01.07.2026'!E30</f>
        <v>0</v>
      </c>
      <c r="D28" s="2">
        <f>'02.07.2026'!E30</f>
        <v>0</v>
      </c>
      <c r="E28" s="2">
        <f>'03.07.2026'!E30</f>
        <v>0</v>
      </c>
      <c r="F28" s="6">
        <f>'04.07.2026'!E30</f>
        <v>0</v>
      </c>
      <c r="G28" s="6"/>
      <c r="H28" s="2">
        <f>'06.07.2026'!E30</f>
        <v>0</v>
      </c>
      <c r="I28" s="2">
        <f>'07.07.2026'!E30</f>
        <v>0</v>
      </c>
      <c r="J28" s="2">
        <f>'08.07.2026'!E30</f>
        <v>0</v>
      </c>
      <c r="K28" s="2">
        <f>'09.07.2026'!E30</f>
        <v>0</v>
      </c>
      <c r="L28" s="2">
        <f>'10.07.2026'!E30</f>
        <v>1</v>
      </c>
      <c r="M28" s="6">
        <f>'11.07.2026'!E30</f>
        <v>0</v>
      </c>
      <c r="N28" s="6"/>
      <c r="O28" s="2">
        <f>'13.07.2026'!E30</f>
        <v>0</v>
      </c>
      <c r="P28" s="2">
        <f>'14.07.2026'!E30</f>
        <v>0</v>
      </c>
      <c r="Q28" s="2">
        <f>'15.07.2026'!E30</f>
        <v>0</v>
      </c>
      <c r="R28" s="2">
        <f>'16.07.2026'!E30</f>
        <v>0</v>
      </c>
      <c r="S28" s="2">
        <f>'17.07.2026'!E30</f>
        <v>0</v>
      </c>
      <c r="T28" s="6">
        <f>'18.07.2026'!E30</f>
        <v>0</v>
      </c>
      <c r="U28" s="6"/>
      <c r="V28" s="2">
        <f>'20.07.2026'!E30</f>
        <v>0</v>
      </c>
      <c r="W28" s="2">
        <f>'21.07.2026'!E30</f>
        <v>0</v>
      </c>
      <c r="X28" s="2">
        <f>'22.07.2026'!E30</f>
        <v>0</v>
      </c>
      <c r="Y28" s="2">
        <f>'23.07.2026'!E30</f>
        <v>0</v>
      </c>
      <c r="Z28" s="2">
        <f>'24.07.2026'!E30</f>
        <v>0</v>
      </c>
      <c r="AA28" s="6">
        <f>'25.07.2026'!E30</f>
        <v>0</v>
      </c>
      <c r="AB28" s="6"/>
      <c r="AC28" s="2">
        <f>'27.07.2026'!E30</f>
        <v>0</v>
      </c>
      <c r="AD28" s="2">
        <f>'28.07.2026'!E30</f>
        <v>0</v>
      </c>
      <c r="AE28" s="2">
        <f>'29.07.2026'!E30</f>
        <v>0</v>
      </c>
      <c r="AF28" s="2">
        <f>'30.07.2026'!E30</f>
        <v>0</v>
      </c>
      <c r="AG28" s="58">
        <f>'31.07.2026'!E30</f>
        <v>0</v>
      </c>
      <c r="AH28"/>
      <c r="AI28" s="22">
        <f t="shared" si="2"/>
        <v>1</v>
      </c>
    </row>
    <row r="29" spans="1:35" ht="17.25" customHeight="1" x14ac:dyDescent="0.25">
      <c r="A29" s="4">
        <v>3</v>
      </c>
      <c r="B29" s="18" t="s">
        <v>27</v>
      </c>
      <c r="C29" s="2">
        <f>'01.07.2026'!E31</f>
        <v>0</v>
      </c>
      <c r="D29" s="2">
        <f>'02.07.2026'!E31</f>
        <v>0</v>
      </c>
      <c r="E29" s="2">
        <f>'03.07.2026'!E31</f>
        <v>0</v>
      </c>
      <c r="F29" s="6">
        <f>'04.07.2026'!E31</f>
        <v>0</v>
      </c>
      <c r="G29" s="6"/>
      <c r="H29" s="2">
        <f>'06.07.2026'!E31</f>
        <v>0</v>
      </c>
      <c r="I29" s="2">
        <f>'07.07.2026'!E31</f>
        <v>1</v>
      </c>
      <c r="J29" s="2">
        <f>'08.07.2026'!E31</f>
        <v>0</v>
      </c>
      <c r="K29" s="2">
        <f>'09.07.2026'!E31</f>
        <v>0</v>
      </c>
      <c r="L29" s="2">
        <f>'10.07.2026'!E31</f>
        <v>0</v>
      </c>
      <c r="M29" s="6">
        <f>'11.07.2026'!E31</f>
        <v>0</v>
      </c>
      <c r="N29" s="6"/>
      <c r="O29" s="2">
        <f>'13.07.2026'!E31</f>
        <v>0</v>
      </c>
      <c r="P29" s="2">
        <f>'14.07.2026'!E31</f>
        <v>0</v>
      </c>
      <c r="Q29" s="2">
        <f>'15.07.2026'!E31</f>
        <v>0</v>
      </c>
      <c r="R29" s="2">
        <f>'16.07.2026'!E31</f>
        <v>0</v>
      </c>
      <c r="S29" s="2">
        <f>'17.07.2026'!E31</f>
        <v>0</v>
      </c>
      <c r="T29" s="6">
        <f>'18.07.2026'!E31</f>
        <v>0</v>
      </c>
      <c r="U29" s="6"/>
      <c r="V29" s="2">
        <f>'20.07.2026'!E31</f>
        <v>0</v>
      </c>
      <c r="W29" s="2">
        <f>'21.07.2026'!E31</f>
        <v>0</v>
      </c>
      <c r="X29" s="2">
        <f>'22.07.2026'!E31</f>
        <v>0</v>
      </c>
      <c r="Y29" s="2">
        <f>'23.07.2026'!E31</f>
        <v>0</v>
      </c>
      <c r="Z29" s="2">
        <f>'24.07.2026'!E31</f>
        <v>0</v>
      </c>
      <c r="AA29" s="6">
        <f>'25.07.2026'!E31</f>
        <v>0</v>
      </c>
      <c r="AB29" s="6"/>
      <c r="AC29" s="2">
        <f>'27.07.2026'!E31</f>
        <v>0</v>
      </c>
      <c r="AD29" s="2">
        <f>'28.07.2026'!E31</f>
        <v>0</v>
      </c>
      <c r="AE29" s="2">
        <f>'29.07.2026'!E31</f>
        <v>0</v>
      </c>
      <c r="AF29" s="2">
        <f>'30.07.2026'!E31</f>
        <v>0</v>
      </c>
      <c r="AG29" s="58">
        <f>'31.07.2026'!E31</f>
        <v>0</v>
      </c>
      <c r="AH29"/>
      <c r="AI29" s="22">
        <f t="shared" si="2"/>
        <v>1</v>
      </c>
    </row>
    <row r="30" spans="1:35" ht="17.25" customHeight="1" x14ac:dyDescent="0.25">
      <c r="A30" s="4">
        <v>4</v>
      </c>
      <c r="B30" s="18" t="s">
        <v>28</v>
      </c>
      <c r="C30" s="2">
        <f>'01.07.2026'!E32</f>
        <v>0</v>
      </c>
      <c r="D30" s="2">
        <f>'02.07.2026'!E32</f>
        <v>0</v>
      </c>
      <c r="E30" s="2">
        <f>'03.07.2026'!E32</f>
        <v>0</v>
      </c>
      <c r="F30" s="6">
        <f>'04.07.2026'!E32</f>
        <v>0</v>
      </c>
      <c r="G30" s="6"/>
      <c r="H30" s="2">
        <f>'06.07.2026'!E32</f>
        <v>0</v>
      </c>
      <c r="I30" s="2">
        <f>'07.07.2026'!E32</f>
        <v>0</v>
      </c>
      <c r="J30" s="2">
        <f>'08.07.2026'!E32</f>
        <v>0</v>
      </c>
      <c r="K30" s="2">
        <f>'09.07.2026'!E32</f>
        <v>0</v>
      </c>
      <c r="L30" s="2">
        <f>'10.07.2026'!E32</f>
        <v>0</v>
      </c>
      <c r="M30" s="6">
        <f>'11.07.2026'!E32</f>
        <v>0</v>
      </c>
      <c r="N30" s="6"/>
      <c r="O30" s="2">
        <f>'13.07.2026'!E32</f>
        <v>0</v>
      </c>
      <c r="P30" s="2">
        <f>'14.07.2026'!E32</f>
        <v>0</v>
      </c>
      <c r="Q30" s="2">
        <f>'15.07.2026'!E32</f>
        <v>0</v>
      </c>
      <c r="R30" s="2">
        <f>'16.07.2026'!E32</f>
        <v>0</v>
      </c>
      <c r="S30" s="2">
        <f>'17.07.2026'!E32</f>
        <v>0</v>
      </c>
      <c r="T30" s="6">
        <f>'18.07.2026'!E32</f>
        <v>0</v>
      </c>
      <c r="U30" s="6"/>
      <c r="V30" s="2">
        <f>'20.07.2026'!E32</f>
        <v>0</v>
      </c>
      <c r="W30" s="2">
        <f>'21.07.2026'!E32</f>
        <v>0</v>
      </c>
      <c r="X30" s="2">
        <f>'22.07.2026'!E32</f>
        <v>0</v>
      </c>
      <c r="Y30" s="2">
        <f>'23.07.2026'!E32</f>
        <v>0</v>
      </c>
      <c r="Z30" s="2">
        <f>'24.07.2026'!E32</f>
        <v>0</v>
      </c>
      <c r="AA30" s="6">
        <f>'25.07.2026'!E32</f>
        <v>0</v>
      </c>
      <c r="AB30" s="6"/>
      <c r="AC30" s="2">
        <f>'27.07.2026'!E32</f>
        <v>0</v>
      </c>
      <c r="AD30" s="2">
        <f>'28.07.2026'!E32</f>
        <v>0</v>
      </c>
      <c r="AE30" s="2">
        <f>'29.07.2026'!E32</f>
        <v>0</v>
      </c>
      <c r="AF30" s="2">
        <f>'30.07.2026'!E32</f>
        <v>0</v>
      </c>
      <c r="AG30" s="58">
        <f>'31.07.2026'!E32</f>
        <v>0</v>
      </c>
      <c r="AH30"/>
      <c r="AI30" s="22">
        <f t="shared" si="2"/>
        <v>0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'01.07.2026'!E33</f>
        <v>1</v>
      </c>
      <c r="D31" s="5">
        <f>'02.07.2026'!E33</f>
        <v>2</v>
      </c>
      <c r="E31" s="5">
        <f>'03.07.2026'!E33</f>
        <v>1</v>
      </c>
      <c r="F31" s="7">
        <f>'04.07.2026'!E33</f>
        <v>0</v>
      </c>
      <c r="G31" s="7"/>
      <c r="H31" s="5">
        <f>'06.07.2026'!E33</f>
        <v>2</v>
      </c>
      <c r="I31" s="5">
        <f>'07.07.2026'!E33</f>
        <v>2</v>
      </c>
      <c r="J31" s="5">
        <f>'08.07.2026'!E33</f>
        <v>0</v>
      </c>
      <c r="K31" s="5">
        <f>'09.07.2026'!E33</f>
        <v>0</v>
      </c>
      <c r="L31" s="5">
        <f>'10.07.2026'!E33</f>
        <v>0</v>
      </c>
      <c r="M31" s="7">
        <f>'11.07.2026'!E33</f>
        <v>0</v>
      </c>
      <c r="N31" s="7"/>
      <c r="O31" s="5">
        <f>'13.07.2026'!E33</f>
        <v>2</v>
      </c>
      <c r="P31" s="5">
        <f>'14.07.2026'!E33</f>
        <v>0</v>
      </c>
      <c r="Q31" s="5">
        <f>'15.07.2026'!E33</f>
        <v>1</v>
      </c>
      <c r="R31" s="5">
        <f>'16.07.2026'!E33</f>
        <v>1</v>
      </c>
      <c r="S31" s="5">
        <f>'17.07.2026'!E33</f>
        <v>5</v>
      </c>
      <c r="T31" s="7">
        <f>'18.07.2026'!E33</f>
        <v>0</v>
      </c>
      <c r="U31" s="7"/>
      <c r="V31" s="5">
        <f>'20.07.2026'!E33</f>
        <v>8</v>
      </c>
      <c r="W31" s="5">
        <f>'21.07.2026'!E33</f>
        <v>0</v>
      </c>
      <c r="X31" s="5">
        <f>'22.07.2026'!E33</f>
        <v>2</v>
      </c>
      <c r="Y31" s="5">
        <f>'23.07.2026'!E33</f>
        <v>1</v>
      </c>
      <c r="Z31" s="5">
        <f>'24.07.2026'!E33</f>
        <v>0</v>
      </c>
      <c r="AA31" s="7">
        <f>'25.07.2026'!E33</f>
        <v>0</v>
      </c>
      <c r="AB31" s="7"/>
      <c r="AC31" s="5">
        <f>'27.07.2026'!E33</f>
        <v>0</v>
      </c>
      <c r="AD31" s="5">
        <f>'28.07.2026'!E33</f>
        <v>0</v>
      </c>
      <c r="AE31" s="5">
        <f>'29.07.2026'!E33</f>
        <v>1</v>
      </c>
      <c r="AF31" s="5">
        <f>'30.07.2026'!E33</f>
        <v>2</v>
      </c>
      <c r="AG31" s="59">
        <f>'31.07.2026'!E33</f>
        <v>3</v>
      </c>
      <c r="AH31"/>
      <c r="AI31" s="22">
        <f t="shared" si="2"/>
        <v>31</v>
      </c>
    </row>
  </sheetData>
  <mergeCells count="3">
    <mergeCell ref="A1:AF1"/>
    <mergeCell ref="AI12:AI13"/>
    <mergeCell ref="AI25:AI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3C94-7EC2-49BD-86BF-A337B3337B2E}">
  <sheetPr codeName="Sheet23"/>
  <dimension ref="A1:AI31"/>
  <sheetViews>
    <sheetView workbookViewId="0">
      <selection activeCell="B34" sqref="B34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'01.07.2026'!F5</f>
        <v>0</v>
      </c>
      <c r="D3" s="2">
        <f>'02.07.2026'!F5</f>
        <v>0</v>
      </c>
      <c r="E3" s="2">
        <f>'03.07.2026'!F5</f>
        <v>3</v>
      </c>
      <c r="F3" s="6">
        <f>'04.07.2026'!F5</f>
        <v>7</v>
      </c>
      <c r="G3" s="6"/>
      <c r="H3" s="2">
        <f>'06.07.2026'!F5</f>
        <v>13</v>
      </c>
      <c r="I3" s="2">
        <f>'07.07.2026'!F5</f>
        <v>17</v>
      </c>
      <c r="J3" s="2">
        <f>'08.07.2026'!F5</f>
        <v>12</v>
      </c>
      <c r="K3" s="2">
        <f>'09.07.2026'!F5</f>
        <v>13</v>
      </c>
      <c r="L3" s="2">
        <f>'10.07.2026'!F5</f>
        <v>7</v>
      </c>
      <c r="M3" s="6">
        <f>'11.07.2026'!F5</f>
        <v>0</v>
      </c>
      <c r="N3" s="6"/>
      <c r="O3" s="2">
        <f>'13.07.2026'!F5</f>
        <v>0</v>
      </c>
      <c r="P3" s="2">
        <f>'14.07.2026'!F5</f>
        <v>1</v>
      </c>
      <c r="Q3" s="2">
        <f>'15.07.2026'!F5</f>
        <v>1</v>
      </c>
      <c r="R3" s="2">
        <f>'16.07.2026'!F5</f>
        <v>0</v>
      </c>
      <c r="S3" s="2">
        <f>'17.07.2026'!F5</f>
        <v>3</v>
      </c>
      <c r="T3" s="6">
        <f>'18.07.2026'!F5</f>
        <v>0</v>
      </c>
      <c r="U3" s="6"/>
      <c r="V3" s="2">
        <f>'20.07.2026'!F5</f>
        <v>4</v>
      </c>
      <c r="W3" s="2">
        <f>'21.07.2026'!F5</f>
        <v>0</v>
      </c>
      <c r="X3" s="2">
        <f>'22.07.2026'!F5</f>
        <v>2</v>
      </c>
      <c r="Y3" s="2">
        <f>'23.07.2026'!F5</f>
        <v>2</v>
      </c>
      <c r="Z3" s="2">
        <f>'24.07.2026'!F5</f>
        <v>0</v>
      </c>
      <c r="AA3" s="6">
        <f>'25.07.2026'!F5</f>
        <v>0</v>
      </c>
      <c r="AB3" s="6"/>
      <c r="AC3" s="2">
        <f>'27.07.2026'!F5</f>
        <v>0</v>
      </c>
      <c r="AD3" s="2">
        <f>'28.07.2026'!F5</f>
        <v>0</v>
      </c>
      <c r="AE3" s="2">
        <f>'29.07.2026'!F5</f>
        <v>0</v>
      </c>
      <c r="AF3" s="2">
        <f>'30.07.2026'!F5</f>
        <v>0</v>
      </c>
      <c r="AG3" s="58">
        <f>'31.07.2026'!F5</f>
        <v>0</v>
      </c>
      <c r="AH3"/>
      <c r="AI3" s="22">
        <f t="shared" ref="AI3:AI11" si="0">SUM(C3:AF3)</f>
        <v>85</v>
      </c>
    </row>
    <row r="4" spans="1:35" ht="17.25" customHeight="1" x14ac:dyDescent="0.25">
      <c r="A4" s="4">
        <v>2</v>
      </c>
      <c r="B4" s="1" t="s">
        <v>5</v>
      </c>
      <c r="C4" s="2">
        <f>'01.07.2026'!F6</f>
        <v>0</v>
      </c>
      <c r="D4" s="2">
        <f>'02.07.2026'!F6</f>
        <v>0</v>
      </c>
      <c r="E4" s="2">
        <f>'03.07.2026'!F6</f>
        <v>0</v>
      </c>
      <c r="F4" s="6">
        <f>'04.07.2026'!F6</f>
        <v>0</v>
      </c>
      <c r="G4" s="6"/>
      <c r="H4" s="2">
        <f>'06.07.2026'!F6</f>
        <v>0</v>
      </c>
      <c r="I4" s="2">
        <f>'07.07.2026'!F6</f>
        <v>0</v>
      </c>
      <c r="J4" s="2">
        <f>'08.07.2026'!F6</f>
        <v>0</v>
      </c>
      <c r="K4" s="2">
        <f>'09.07.2026'!F6</f>
        <v>0</v>
      </c>
      <c r="L4" s="2">
        <f>'10.07.2026'!F6</f>
        <v>0</v>
      </c>
      <c r="M4" s="6">
        <f>'11.07.2026'!F6</f>
        <v>0</v>
      </c>
      <c r="N4" s="6"/>
      <c r="O4" s="2">
        <f>'13.07.2026'!F6</f>
        <v>0</v>
      </c>
      <c r="P4" s="2">
        <f>'14.07.2026'!F6</f>
        <v>0</v>
      </c>
      <c r="Q4" s="2">
        <f>'15.07.2026'!F6</f>
        <v>0</v>
      </c>
      <c r="R4" s="2">
        <f>'16.07.2026'!F6</f>
        <v>0</v>
      </c>
      <c r="S4" s="2">
        <f>'17.07.2026'!F6</f>
        <v>0</v>
      </c>
      <c r="T4" s="6">
        <f>'18.07.2026'!F6</f>
        <v>0</v>
      </c>
      <c r="U4" s="6"/>
      <c r="V4" s="2">
        <f>'20.07.2026'!F6</f>
        <v>0</v>
      </c>
      <c r="W4" s="2">
        <f>'21.07.2026'!F6</f>
        <v>0</v>
      </c>
      <c r="X4" s="2">
        <f>'22.07.2026'!F6</f>
        <v>0</v>
      </c>
      <c r="Y4" s="2">
        <f>'23.07.2026'!F6</f>
        <v>0</v>
      </c>
      <c r="Z4" s="2">
        <f>'24.07.2026'!F6</f>
        <v>0</v>
      </c>
      <c r="AA4" s="6">
        <f>'25.07.2026'!F6</f>
        <v>0</v>
      </c>
      <c r="AB4" s="6"/>
      <c r="AC4" s="2">
        <f>'27.07.2026'!F6</f>
        <v>0</v>
      </c>
      <c r="AD4" s="2">
        <f>'28.07.2026'!F6</f>
        <v>0</v>
      </c>
      <c r="AE4" s="2">
        <f>'29.07.2026'!F6</f>
        <v>0</v>
      </c>
      <c r="AF4" s="2">
        <f>'30.07.2026'!F6</f>
        <v>0</v>
      </c>
      <c r="AG4" s="58">
        <f>'31.07.2026'!F6</f>
        <v>0</v>
      </c>
      <c r="AH4"/>
      <c r="AI4" s="22">
        <f t="shared" si="0"/>
        <v>0</v>
      </c>
    </row>
    <row r="5" spans="1:35" ht="17.25" customHeight="1" x14ac:dyDescent="0.25">
      <c r="A5" s="4">
        <v>3</v>
      </c>
      <c r="B5" s="1" t="s">
        <v>6</v>
      </c>
      <c r="C5" s="2">
        <f>'01.07.2026'!F7</f>
        <v>0</v>
      </c>
      <c r="D5" s="2">
        <f>'02.07.2026'!F7</f>
        <v>0</v>
      </c>
      <c r="E5" s="2">
        <f>'03.07.2026'!F7</f>
        <v>0</v>
      </c>
      <c r="F5" s="6">
        <f>'04.07.2026'!F7</f>
        <v>0</v>
      </c>
      <c r="G5" s="6"/>
      <c r="H5" s="2">
        <f>'06.07.2026'!F7</f>
        <v>0</v>
      </c>
      <c r="I5" s="2">
        <f>'07.07.2026'!F7</f>
        <v>0</v>
      </c>
      <c r="J5" s="2">
        <f>'08.07.2026'!F7</f>
        <v>0</v>
      </c>
      <c r="K5" s="2">
        <f>'09.07.2026'!F7</f>
        <v>0</v>
      </c>
      <c r="L5" s="2">
        <f>'10.07.2026'!F7</f>
        <v>0</v>
      </c>
      <c r="M5" s="6">
        <f>'11.07.2026'!F7</f>
        <v>0</v>
      </c>
      <c r="N5" s="6"/>
      <c r="O5" s="2">
        <f>'13.07.2026'!F7</f>
        <v>0</v>
      </c>
      <c r="P5" s="2">
        <f>'14.07.2026'!F7</f>
        <v>0</v>
      </c>
      <c r="Q5" s="2">
        <f>'15.07.2026'!F7</f>
        <v>0</v>
      </c>
      <c r="R5" s="2">
        <f>'16.07.2026'!F7</f>
        <v>0</v>
      </c>
      <c r="S5" s="2">
        <f>'17.07.2026'!F7</f>
        <v>0</v>
      </c>
      <c r="T5" s="6">
        <f>'18.07.2026'!F7</f>
        <v>0</v>
      </c>
      <c r="U5" s="6"/>
      <c r="V5" s="2">
        <f>'20.07.2026'!F7</f>
        <v>0</v>
      </c>
      <c r="W5" s="2">
        <f>'21.07.2026'!F7</f>
        <v>0</v>
      </c>
      <c r="X5" s="2">
        <f>'22.07.2026'!F7</f>
        <v>0</v>
      </c>
      <c r="Y5" s="2">
        <f>'23.07.2026'!F7</f>
        <v>0</v>
      </c>
      <c r="Z5" s="2">
        <f>'24.07.2026'!F7</f>
        <v>0</v>
      </c>
      <c r="AA5" s="6">
        <f>'25.07.2026'!F7</f>
        <v>0</v>
      </c>
      <c r="AB5" s="6"/>
      <c r="AC5" s="2">
        <f>'27.07.2026'!F7</f>
        <v>0</v>
      </c>
      <c r="AD5" s="2">
        <f>'28.07.2026'!F7</f>
        <v>0</v>
      </c>
      <c r="AE5" s="2">
        <f>'29.07.2026'!F7</f>
        <v>0</v>
      </c>
      <c r="AF5" s="2">
        <f>'30.07.2026'!F7</f>
        <v>0</v>
      </c>
      <c r="AG5" s="58">
        <f>'31.07.2026'!F7</f>
        <v>0</v>
      </c>
      <c r="AH5"/>
      <c r="AI5" s="22">
        <f t="shared" si="0"/>
        <v>0</v>
      </c>
    </row>
    <row r="6" spans="1:35" ht="17.25" customHeight="1" x14ac:dyDescent="0.25">
      <c r="A6" s="4">
        <v>4</v>
      </c>
      <c r="B6" s="1" t="s">
        <v>7</v>
      </c>
      <c r="C6" s="2">
        <f>'01.07.2026'!F8</f>
        <v>0</v>
      </c>
      <c r="D6" s="2">
        <f>'02.07.2026'!F8</f>
        <v>0</v>
      </c>
      <c r="E6" s="2">
        <f>'03.07.2026'!F8</f>
        <v>0</v>
      </c>
      <c r="F6" s="6">
        <f>'04.07.2026'!F8</f>
        <v>0</v>
      </c>
      <c r="G6" s="6"/>
      <c r="H6" s="2">
        <f>'06.07.2026'!F8</f>
        <v>0</v>
      </c>
      <c r="I6" s="2">
        <f>'07.07.2026'!F8</f>
        <v>0</v>
      </c>
      <c r="J6" s="2">
        <f>'08.07.2026'!F8</f>
        <v>0</v>
      </c>
      <c r="K6" s="2">
        <f>'09.07.2026'!F8</f>
        <v>0</v>
      </c>
      <c r="L6" s="2">
        <f>'10.07.2026'!F8</f>
        <v>0</v>
      </c>
      <c r="M6" s="6">
        <f>'11.07.2026'!F8</f>
        <v>0</v>
      </c>
      <c r="N6" s="6"/>
      <c r="O6" s="2">
        <f>'13.07.2026'!F8</f>
        <v>0</v>
      </c>
      <c r="P6" s="2">
        <f>'14.07.2026'!F8</f>
        <v>0</v>
      </c>
      <c r="Q6" s="2">
        <f>'15.07.2026'!F8</f>
        <v>0</v>
      </c>
      <c r="R6" s="2">
        <f>'16.07.2026'!F8</f>
        <v>0</v>
      </c>
      <c r="S6" s="2">
        <f>'17.07.2026'!F8</f>
        <v>0</v>
      </c>
      <c r="T6" s="6">
        <f>'18.07.2026'!F8</f>
        <v>0</v>
      </c>
      <c r="U6" s="6"/>
      <c r="V6" s="2">
        <f>'20.07.2026'!F8</f>
        <v>0</v>
      </c>
      <c r="W6" s="2">
        <f>'21.07.2026'!F8</f>
        <v>0</v>
      </c>
      <c r="X6" s="2">
        <f>'22.07.2026'!F8</f>
        <v>0</v>
      </c>
      <c r="Y6" s="2">
        <f>'23.07.2026'!F8</f>
        <v>0</v>
      </c>
      <c r="Z6" s="2">
        <f>'24.07.2026'!F8</f>
        <v>0</v>
      </c>
      <c r="AA6" s="6">
        <f>'25.07.2026'!F8</f>
        <v>0</v>
      </c>
      <c r="AB6" s="6"/>
      <c r="AC6" s="2">
        <f>'27.07.2026'!F8</f>
        <v>0</v>
      </c>
      <c r="AD6" s="2">
        <f>'28.07.2026'!F8</f>
        <v>0</v>
      </c>
      <c r="AE6" s="2">
        <f>'29.07.2026'!F8</f>
        <v>0</v>
      </c>
      <c r="AF6" s="2">
        <f>'30.07.2026'!F8</f>
        <v>0</v>
      </c>
      <c r="AG6" s="58">
        <f>'31.07.2026'!F8</f>
        <v>0</v>
      </c>
      <c r="AH6"/>
      <c r="AI6" s="22">
        <f t="shared" si="0"/>
        <v>0</v>
      </c>
    </row>
    <row r="7" spans="1:35" ht="17.25" customHeight="1" x14ac:dyDescent="0.25">
      <c r="A7" s="4">
        <v>5</v>
      </c>
      <c r="B7" s="1" t="s">
        <v>8</v>
      </c>
      <c r="C7" s="2">
        <f>'01.07.2026'!F9</f>
        <v>0</v>
      </c>
      <c r="D7" s="2">
        <f>'02.07.2026'!F9</f>
        <v>0</v>
      </c>
      <c r="E7" s="2">
        <f>'03.07.2026'!F9</f>
        <v>0</v>
      </c>
      <c r="F7" s="6">
        <f>'04.07.2026'!F9</f>
        <v>0</v>
      </c>
      <c r="G7" s="6"/>
      <c r="H7" s="2">
        <f>'06.07.2026'!F9</f>
        <v>0</v>
      </c>
      <c r="I7" s="2">
        <f>'07.07.2026'!F9</f>
        <v>0</v>
      </c>
      <c r="J7" s="2">
        <f>'08.07.2026'!F9</f>
        <v>0</v>
      </c>
      <c r="K7" s="2">
        <f>'09.07.2026'!F9</f>
        <v>1</v>
      </c>
      <c r="L7" s="2">
        <f>'10.07.2026'!F9</f>
        <v>0</v>
      </c>
      <c r="M7" s="6">
        <f>'11.07.2026'!F9</f>
        <v>0</v>
      </c>
      <c r="N7" s="6"/>
      <c r="O7" s="2">
        <f>'13.07.2026'!F9</f>
        <v>0</v>
      </c>
      <c r="P7" s="2">
        <f>'14.07.2026'!F9</f>
        <v>0</v>
      </c>
      <c r="Q7" s="2">
        <f>'15.07.2026'!F9</f>
        <v>0</v>
      </c>
      <c r="R7" s="2">
        <f>'16.07.2026'!F9</f>
        <v>0</v>
      </c>
      <c r="S7" s="2">
        <f>'17.07.2026'!F9</f>
        <v>2</v>
      </c>
      <c r="T7" s="6">
        <f>'18.07.2026'!F9</f>
        <v>0</v>
      </c>
      <c r="U7" s="6"/>
      <c r="V7" s="2">
        <f>'20.07.2026'!F9</f>
        <v>0</v>
      </c>
      <c r="W7" s="2">
        <f>'21.07.2026'!F9</f>
        <v>0</v>
      </c>
      <c r="X7" s="2">
        <f>'22.07.2026'!F9</f>
        <v>0</v>
      </c>
      <c r="Y7" s="2">
        <f>'23.07.2026'!F9</f>
        <v>0</v>
      </c>
      <c r="Z7" s="2">
        <f>'24.07.2026'!F9</f>
        <v>0</v>
      </c>
      <c r="AA7" s="6">
        <f>'25.07.2026'!F9</f>
        <v>0</v>
      </c>
      <c r="AB7" s="6"/>
      <c r="AC7" s="2">
        <f>'27.07.2026'!F9</f>
        <v>0</v>
      </c>
      <c r="AD7" s="2">
        <f>'28.07.2026'!F9</f>
        <v>0</v>
      </c>
      <c r="AE7" s="2">
        <f>'29.07.2026'!F9</f>
        <v>0</v>
      </c>
      <c r="AF7" s="2">
        <f>'30.07.2026'!F9</f>
        <v>0</v>
      </c>
      <c r="AG7" s="58">
        <f>'31.07.2026'!F9</f>
        <v>0</v>
      </c>
      <c r="AH7"/>
      <c r="AI7" s="22">
        <f t="shared" si="0"/>
        <v>3</v>
      </c>
    </row>
    <row r="8" spans="1:35" ht="17.25" customHeight="1" x14ac:dyDescent="0.25">
      <c r="A8" s="4">
        <v>6</v>
      </c>
      <c r="B8" s="1" t="s">
        <v>9</v>
      </c>
      <c r="C8" s="2">
        <f>'01.07.2026'!F10</f>
        <v>0</v>
      </c>
      <c r="D8" s="2">
        <f>'02.07.2026'!F10</f>
        <v>0</v>
      </c>
      <c r="E8" s="2">
        <f>'03.07.2026'!F10</f>
        <v>0</v>
      </c>
      <c r="F8" s="6">
        <f>'04.07.2026'!F10</f>
        <v>0</v>
      </c>
      <c r="G8" s="6"/>
      <c r="H8" s="2">
        <f>'06.07.2026'!F10</f>
        <v>0</v>
      </c>
      <c r="I8" s="2">
        <f>'07.07.2026'!F10</f>
        <v>0</v>
      </c>
      <c r="J8" s="2">
        <f>'08.07.2026'!F10</f>
        <v>0</v>
      </c>
      <c r="K8" s="2">
        <f>'09.07.2026'!F10</f>
        <v>0</v>
      </c>
      <c r="L8" s="2">
        <f>'10.07.2026'!F10</f>
        <v>0</v>
      </c>
      <c r="M8" s="6">
        <f>'11.07.2026'!F10</f>
        <v>0</v>
      </c>
      <c r="N8" s="6"/>
      <c r="O8" s="2">
        <f>'13.07.2026'!F10</f>
        <v>0</v>
      </c>
      <c r="P8" s="2">
        <f>'14.07.2026'!F10</f>
        <v>0</v>
      </c>
      <c r="Q8" s="2">
        <f>'15.07.2026'!F10</f>
        <v>0</v>
      </c>
      <c r="R8" s="2">
        <f>'16.07.2026'!F10</f>
        <v>0</v>
      </c>
      <c r="S8" s="2">
        <f>'17.07.2026'!F10</f>
        <v>0</v>
      </c>
      <c r="T8" s="6">
        <f>'18.07.2026'!F10</f>
        <v>0</v>
      </c>
      <c r="U8" s="6"/>
      <c r="V8" s="2">
        <f>'20.07.2026'!F10</f>
        <v>0</v>
      </c>
      <c r="W8" s="2">
        <f>'21.07.2026'!F10</f>
        <v>0</v>
      </c>
      <c r="X8" s="2">
        <f>'22.07.2026'!F10</f>
        <v>0</v>
      </c>
      <c r="Y8" s="2">
        <f>'23.07.2026'!F10</f>
        <v>0</v>
      </c>
      <c r="Z8" s="2">
        <f>'24.07.2026'!F10</f>
        <v>0</v>
      </c>
      <c r="AA8" s="6">
        <f>'25.07.2026'!F10</f>
        <v>0</v>
      </c>
      <c r="AB8" s="6"/>
      <c r="AC8" s="2">
        <f>'27.07.2026'!F10</f>
        <v>0</v>
      </c>
      <c r="AD8" s="2">
        <f>'28.07.2026'!F10</f>
        <v>0</v>
      </c>
      <c r="AE8" s="2">
        <f>'29.07.2026'!F10</f>
        <v>0</v>
      </c>
      <c r="AF8" s="2">
        <f>'30.07.2026'!F10</f>
        <v>0</v>
      </c>
      <c r="AG8" s="58">
        <f>'31.07.2026'!F10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'01.07.2026'!F11</f>
        <v>0</v>
      </c>
      <c r="D9" s="2">
        <f>'02.07.2026'!F11</f>
        <v>0</v>
      </c>
      <c r="E9" s="2">
        <f>'03.07.2026'!F11</f>
        <v>0</v>
      </c>
      <c r="F9" s="6">
        <f>'04.07.2026'!F11</f>
        <v>0</v>
      </c>
      <c r="G9" s="6"/>
      <c r="H9" s="2">
        <f>'06.07.2026'!F11</f>
        <v>0</v>
      </c>
      <c r="I9" s="2">
        <f>'07.07.2026'!F11</f>
        <v>0</v>
      </c>
      <c r="J9" s="2">
        <f>'08.07.2026'!F11</f>
        <v>0</v>
      </c>
      <c r="K9" s="2">
        <f>'09.07.2026'!F11</f>
        <v>0</v>
      </c>
      <c r="L9" s="2">
        <f>'10.07.2026'!F11</f>
        <v>0</v>
      </c>
      <c r="M9" s="6">
        <f>'11.07.2026'!F11</f>
        <v>0</v>
      </c>
      <c r="N9" s="6"/>
      <c r="O9" s="2">
        <f>'13.07.2026'!F11</f>
        <v>0</v>
      </c>
      <c r="P9" s="2">
        <f>'14.07.2026'!F11</f>
        <v>0</v>
      </c>
      <c r="Q9" s="2">
        <f>'15.07.2026'!F11</f>
        <v>0</v>
      </c>
      <c r="R9" s="2">
        <f>'16.07.2026'!F11</f>
        <v>0</v>
      </c>
      <c r="S9" s="2">
        <f>'17.07.2026'!F11</f>
        <v>0</v>
      </c>
      <c r="T9" s="6">
        <f>'18.07.2026'!F11</f>
        <v>0</v>
      </c>
      <c r="U9" s="6"/>
      <c r="V9" s="2">
        <f>'20.07.2026'!F11</f>
        <v>0</v>
      </c>
      <c r="W9" s="2">
        <f>'21.07.2026'!F11</f>
        <v>0</v>
      </c>
      <c r="X9" s="2">
        <f>'22.07.2026'!F11</f>
        <v>0</v>
      </c>
      <c r="Y9" s="2">
        <f>'23.07.2026'!F11</f>
        <v>0</v>
      </c>
      <c r="Z9" s="2">
        <f>'24.07.2026'!F11</f>
        <v>0</v>
      </c>
      <c r="AA9" s="6">
        <f>'25.07.2026'!F11</f>
        <v>0</v>
      </c>
      <c r="AB9" s="6"/>
      <c r="AC9" s="2">
        <f>'27.07.2026'!F11</f>
        <v>0</v>
      </c>
      <c r="AD9" s="2">
        <f>'28.07.2026'!F11</f>
        <v>0</v>
      </c>
      <c r="AE9" s="2">
        <f>'29.07.2026'!F11</f>
        <v>0</v>
      </c>
      <c r="AF9" s="2">
        <f>'30.07.2026'!F11</f>
        <v>0</v>
      </c>
      <c r="AG9" s="58">
        <f>'31.07.2026'!F11</f>
        <v>0</v>
      </c>
      <c r="AH9"/>
      <c r="AI9" s="22">
        <f t="shared" si="0"/>
        <v>0</v>
      </c>
    </row>
    <row r="10" spans="1:35" ht="17.25" customHeight="1" x14ac:dyDescent="0.25">
      <c r="A10" s="4">
        <v>8</v>
      </c>
      <c r="B10" s="1" t="s">
        <v>11</v>
      </c>
      <c r="C10" s="2">
        <f>'01.07.2026'!F12</f>
        <v>9</v>
      </c>
      <c r="D10" s="2">
        <f>'02.07.2026'!F12</f>
        <v>4</v>
      </c>
      <c r="E10" s="2">
        <f>'03.07.2026'!F12</f>
        <v>0</v>
      </c>
      <c r="F10" s="6">
        <f>'04.07.2026'!F12</f>
        <v>0</v>
      </c>
      <c r="G10" s="6"/>
      <c r="H10" s="2">
        <f>'06.07.2026'!F12</f>
        <v>0</v>
      </c>
      <c r="I10" s="2">
        <f>'07.07.2026'!F12</f>
        <v>0</v>
      </c>
      <c r="J10" s="2">
        <f>'08.07.2026'!F12</f>
        <v>0</v>
      </c>
      <c r="K10" s="2">
        <f>'09.07.2026'!F12</f>
        <v>0</v>
      </c>
      <c r="L10" s="2">
        <f>'10.07.2026'!F12</f>
        <v>0</v>
      </c>
      <c r="M10" s="6">
        <f>'11.07.2026'!F12</f>
        <v>0</v>
      </c>
      <c r="N10" s="6"/>
      <c r="O10" s="2">
        <f>'13.07.2026'!F12</f>
        <v>0</v>
      </c>
      <c r="P10" s="2">
        <f>'14.07.2026'!F12</f>
        <v>0</v>
      </c>
      <c r="Q10" s="2">
        <f>'15.07.2026'!F12</f>
        <v>0</v>
      </c>
      <c r="R10" s="2">
        <f>'16.07.2026'!F12</f>
        <v>0</v>
      </c>
      <c r="S10" s="2">
        <f>'17.07.2026'!F12</f>
        <v>0</v>
      </c>
      <c r="T10" s="6">
        <f>'18.07.2026'!F12</f>
        <v>0</v>
      </c>
      <c r="U10" s="6"/>
      <c r="V10" s="2">
        <f>'20.07.2026'!F12</f>
        <v>0</v>
      </c>
      <c r="W10" s="2">
        <f>'21.07.2026'!F12</f>
        <v>0</v>
      </c>
      <c r="X10" s="2">
        <f>'22.07.2026'!F12</f>
        <v>0</v>
      </c>
      <c r="Y10" s="2">
        <f>'23.07.2026'!F12</f>
        <v>0</v>
      </c>
      <c r="Z10" s="2">
        <f>'24.07.2026'!F12</f>
        <v>0</v>
      </c>
      <c r="AA10" s="6">
        <f>'25.07.2026'!F12</f>
        <v>0</v>
      </c>
      <c r="AB10" s="6"/>
      <c r="AC10" s="2">
        <f>'27.07.2026'!F12</f>
        <v>0</v>
      </c>
      <c r="AD10" s="2">
        <f>'28.07.2026'!F12</f>
        <v>0</v>
      </c>
      <c r="AE10" s="2">
        <f>'29.07.2026'!F12</f>
        <v>0</v>
      </c>
      <c r="AF10" s="2">
        <f>'30.07.2026'!F12</f>
        <v>0</v>
      </c>
      <c r="AG10" s="58">
        <f>'31.07.2026'!F12</f>
        <v>0</v>
      </c>
      <c r="AH10"/>
      <c r="AI10" s="22">
        <f t="shared" si="0"/>
        <v>13</v>
      </c>
    </row>
    <row r="11" spans="1:35" ht="17.25" customHeight="1" thickBot="1" x14ac:dyDescent="0.3">
      <c r="A11" s="13">
        <v>9</v>
      </c>
      <c r="B11" s="10" t="s">
        <v>12</v>
      </c>
      <c r="C11" s="2">
        <f>'01.07.2026'!F13</f>
        <v>1</v>
      </c>
      <c r="D11" s="2">
        <f>'02.07.2026'!F13</f>
        <v>3</v>
      </c>
      <c r="E11" s="2">
        <f>'03.07.2026'!F13</f>
        <v>0</v>
      </c>
      <c r="F11" s="6">
        <f>'04.07.2026'!F13</f>
        <v>0</v>
      </c>
      <c r="G11" s="6"/>
      <c r="H11" s="2">
        <f>'06.07.2026'!F13</f>
        <v>0</v>
      </c>
      <c r="I11" s="2">
        <f>'07.07.2026'!F13</f>
        <v>0</v>
      </c>
      <c r="J11" s="2">
        <f>'08.07.2026'!F13</f>
        <v>0</v>
      </c>
      <c r="K11" s="2">
        <f>'09.07.2026'!F13</f>
        <v>0</v>
      </c>
      <c r="L11" s="2">
        <f>'10.07.2026'!F13</f>
        <v>0</v>
      </c>
      <c r="M11" s="6">
        <f>'11.07.2026'!F13</f>
        <v>0</v>
      </c>
      <c r="N11" s="6"/>
      <c r="O11" s="2">
        <f>'13.07.2026'!F13</f>
        <v>0</v>
      </c>
      <c r="P11" s="2">
        <f>'14.07.2026'!F13</f>
        <v>0</v>
      </c>
      <c r="Q11" s="2">
        <f>'15.07.2026'!F13</f>
        <v>0</v>
      </c>
      <c r="R11" s="2">
        <f>'16.07.2026'!F13</f>
        <v>0</v>
      </c>
      <c r="S11" s="2">
        <f>'17.07.2026'!F13</f>
        <v>0</v>
      </c>
      <c r="T11" s="6">
        <f>'18.07.2026'!F13</f>
        <v>0</v>
      </c>
      <c r="U11" s="6"/>
      <c r="V11" s="2">
        <f>'20.07.2026'!F13</f>
        <v>0</v>
      </c>
      <c r="W11" s="2">
        <f>'21.07.2026'!F13</f>
        <v>0</v>
      </c>
      <c r="X11" s="2">
        <f>'22.07.2026'!F13</f>
        <v>0</v>
      </c>
      <c r="Y11" s="2">
        <f>'23.07.2026'!F13</f>
        <v>0</v>
      </c>
      <c r="Z11" s="2">
        <f>'24.07.2026'!F13</f>
        <v>0</v>
      </c>
      <c r="AA11" s="6">
        <f>'25.07.2026'!F13</f>
        <v>0</v>
      </c>
      <c r="AB11" s="6"/>
      <c r="AC11" s="2">
        <f>'27.07.2026'!F13</f>
        <v>0</v>
      </c>
      <c r="AD11" s="2">
        <f>'28.07.2026'!F13</f>
        <v>0</v>
      </c>
      <c r="AE11" s="2">
        <f>'29.07.2026'!F13</f>
        <v>0</v>
      </c>
      <c r="AF11" s="2">
        <f>'30.07.2026'!F13</f>
        <v>0</v>
      </c>
      <c r="AG11" s="58">
        <f>'31.07.2026'!F13</f>
        <v>0</v>
      </c>
      <c r="AH11"/>
      <c r="AI11" s="22">
        <f t="shared" si="0"/>
        <v>4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79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'01.07.2026'!F16</f>
        <v>0</v>
      </c>
      <c r="D14" s="2">
        <f>'02.07.2026'!F16</f>
        <v>0</v>
      </c>
      <c r="E14" s="2">
        <f>'03.07.2026'!F16</f>
        <v>2</v>
      </c>
      <c r="F14" s="6">
        <f>'04.07.2026'!F16</f>
        <v>5</v>
      </c>
      <c r="G14" s="6"/>
      <c r="H14" s="2">
        <f>'06.07.2026'!F16</f>
        <v>4</v>
      </c>
      <c r="I14" s="2">
        <f>'07.07.2026'!F16</f>
        <v>2</v>
      </c>
      <c r="J14" s="2">
        <f>'08.07.2026'!F16</f>
        <v>2</v>
      </c>
      <c r="K14" s="2">
        <f>'09.07.2026'!F16</f>
        <v>5</v>
      </c>
      <c r="L14" s="2">
        <f>'10.07.2026'!F16</f>
        <v>7</v>
      </c>
      <c r="M14" s="6">
        <f>'11.07.2026'!F16</f>
        <v>0</v>
      </c>
      <c r="N14" s="6"/>
      <c r="O14" s="2">
        <f>'13.07.2026'!F16</f>
        <v>10</v>
      </c>
      <c r="P14" s="2">
        <f>'14.07.2026'!F16</f>
        <v>10</v>
      </c>
      <c r="Q14" s="2">
        <f>'15.07.2026'!F16</f>
        <v>5</v>
      </c>
      <c r="R14" s="2">
        <f>'16.07.2026'!F16</f>
        <v>13</v>
      </c>
      <c r="S14" s="2">
        <f>'17.07.2026'!F16</f>
        <v>5</v>
      </c>
      <c r="T14" s="6">
        <f>'18.07.2026'!F16</f>
        <v>0</v>
      </c>
      <c r="U14" s="6"/>
      <c r="V14" s="2">
        <f>'20.07.2026'!F16</f>
        <v>2</v>
      </c>
      <c r="W14" s="2">
        <f>'21.07.2026'!F16</f>
        <v>0</v>
      </c>
      <c r="X14" s="2">
        <f>'22.07.2026'!F16</f>
        <v>5</v>
      </c>
      <c r="Y14" s="2">
        <f>'23.07.2026'!F16</f>
        <v>6</v>
      </c>
      <c r="Z14" s="2">
        <f>'24.07.2026'!F16</f>
        <v>1</v>
      </c>
      <c r="AA14" s="6">
        <f>'25.07.2026'!F16</f>
        <v>0</v>
      </c>
      <c r="AB14" s="6"/>
      <c r="AC14" s="2">
        <f>'27.07.2026'!F16</f>
        <v>2</v>
      </c>
      <c r="AD14" s="2">
        <f>'28.07.2026'!F16</f>
        <v>2</v>
      </c>
      <c r="AE14" s="2">
        <f>'29.07.2026'!F16</f>
        <v>1</v>
      </c>
      <c r="AF14" s="2">
        <f>'30.07.2026'!F16</f>
        <v>0</v>
      </c>
      <c r="AG14" s="58">
        <f>'31.07.2026'!F16</f>
        <v>0</v>
      </c>
      <c r="AH14"/>
      <c r="AI14" s="22">
        <f t="shared" ref="AI14:AI24" si="1">SUM(C14:AF14)</f>
        <v>89</v>
      </c>
    </row>
    <row r="15" spans="1:35" ht="17.25" customHeight="1" x14ac:dyDescent="0.25">
      <c r="A15" s="4">
        <v>2</v>
      </c>
      <c r="B15" s="1" t="s">
        <v>15</v>
      </c>
      <c r="C15" s="2">
        <f>'01.07.2026'!F17</f>
        <v>0</v>
      </c>
      <c r="D15" s="2">
        <f>'02.07.2026'!F17</f>
        <v>0</v>
      </c>
      <c r="E15" s="2">
        <f>'03.07.2026'!F17</f>
        <v>0</v>
      </c>
      <c r="F15" s="6">
        <f>'04.07.2026'!F17</f>
        <v>0</v>
      </c>
      <c r="G15" s="6"/>
      <c r="H15" s="2">
        <f>'06.07.2026'!F17</f>
        <v>0</v>
      </c>
      <c r="I15" s="2">
        <f>'07.07.2026'!F17</f>
        <v>0</v>
      </c>
      <c r="J15" s="2">
        <f>'08.07.2026'!F17</f>
        <v>1</v>
      </c>
      <c r="K15" s="2">
        <f>'09.07.2026'!F17</f>
        <v>0</v>
      </c>
      <c r="L15" s="2">
        <f>'10.07.2026'!F17</f>
        <v>0</v>
      </c>
      <c r="M15" s="6">
        <f>'11.07.2026'!F17</f>
        <v>0</v>
      </c>
      <c r="N15" s="6"/>
      <c r="O15" s="2">
        <f>'13.07.2026'!F17</f>
        <v>0</v>
      </c>
      <c r="P15" s="2">
        <f>'14.07.2026'!F17</f>
        <v>0</v>
      </c>
      <c r="Q15" s="2">
        <f>'15.07.2026'!F17</f>
        <v>0</v>
      </c>
      <c r="R15" s="2">
        <f>'16.07.2026'!F17</f>
        <v>0</v>
      </c>
      <c r="S15" s="2">
        <f>'17.07.2026'!F17</f>
        <v>0</v>
      </c>
      <c r="T15" s="6">
        <f>'18.07.2026'!F17</f>
        <v>0</v>
      </c>
      <c r="U15" s="6"/>
      <c r="V15" s="2">
        <f>'20.07.2026'!F17</f>
        <v>0</v>
      </c>
      <c r="W15" s="2">
        <f>'21.07.2026'!F17</f>
        <v>0</v>
      </c>
      <c r="X15" s="2">
        <f>'22.07.2026'!F17</f>
        <v>0</v>
      </c>
      <c r="Y15" s="2">
        <f>'23.07.2026'!F17</f>
        <v>0</v>
      </c>
      <c r="Z15" s="2">
        <f>'24.07.2026'!F17</f>
        <v>0</v>
      </c>
      <c r="AA15" s="6">
        <f>'25.07.2026'!F17</f>
        <v>0</v>
      </c>
      <c r="AB15" s="6"/>
      <c r="AC15" s="2">
        <f>'27.07.2026'!F17</f>
        <v>0</v>
      </c>
      <c r="AD15" s="2">
        <f>'28.07.2026'!F17</f>
        <v>0</v>
      </c>
      <c r="AE15" s="2">
        <f>'29.07.2026'!F17</f>
        <v>0</v>
      </c>
      <c r="AF15" s="2">
        <f>'30.07.2026'!F17</f>
        <v>0</v>
      </c>
      <c r="AG15" s="58">
        <f>'31.07.2026'!F17</f>
        <v>0</v>
      </c>
      <c r="AH15"/>
      <c r="AI15" s="22">
        <f t="shared" si="1"/>
        <v>1</v>
      </c>
    </row>
    <row r="16" spans="1:35" ht="17.25" customHeight="1" x14ac:dyDescent="0.25">
      <c r="A16" s="4">
        <v>3</v>
      </c>
      <c r="B16" s="1" t="s">
        <v>16</v>
      </c>
      <c r="C16" s="2">
        <f>'01.07.2026'!F18</f>
        <v>0</v>
      </c>
      <c r="D16" s="2">
        <f>'02.07.2026'!F18</f>
        <v>0</v>
      </c>
      <c r="E16" s="2">
        <f>'03.07.2026'!F18</f>
        <v>0</v>
      </c>
      <c r="F16" s="6">
        <f>'04.07.2026'!F18</f>
        <v>0</v>
      </c>
      <c r="G16" s="6"/>
      <c r="H16" s="2">
        <f>'06.07.2026'!F18</f>
        <v>0</v>
      </c>
      <c r="I16" s="2">
        <f>'07.07.2026'!F18</f>
        <v>0</v>
      </c>
      <c r="J16" s="2">
        <f>'08.07.2026'!F18</f>
        <v>2</v>
      </c>
      <c r="K16" s="2">
        <f>'09.07.2026'!F18</f>
        <v>0</v>
      </c>
      <c r="L16" s="2">
        <f>'10.07.2026'!F18</f>
        <v>0</v>
      </c>
      <c r="M16" s="6">
        <f>'11.07.2026'!F18</f>
        <v>0</v>
      </c>
      <c r="N16" s="6"/>
      <c r="O16" s="2">
        <f>'13.07.2026'!F18</f>
        <v>0</v>
      </c>
      <c r="P16" s="2">
        <f>'14.07.2026'!F18</f>
        <v>0</v>
      </c>
      <c r="Q16" s="2">
        <f>'15.07.2026'!F18</f>
        <v>0</v>
      </c>
      <c r="R16" s="2">
        <f>'16.07.2026'!F18</f>
        <v>0</v>
      </c>
      <c r="S16" s="2">
        <f>'17.07.2026'!F18</f>
        <v>0</v>
      </c>
      <c r="T16" s="6">
        <f>'18.07.2026'!F18</f>
        <v>0</v>
      </c>
      <c r="U16" s="6"/>
      <c r="V16" s="2">
        <f>'20.07.2026'!F18</f>
        <v>0</v>
      </c>
      <c r="W16" s="2">
        <f>'21.07.2026'!F18</f>
        <v>0</v>
      </c>
      <c r="X16" s="2">
        <f>'22.07.2026'!F18</f>
        <v>0</v>
      </c>
      <c r="Y16" s="2">
        <f>'23.07.2026'!F18</f>
        <v>0</v>
      </c>
      <c r="Z16" s="2">
        <f>'24.07.2026'!F18</f>
        <v>0</v>
      </c>
      <c r="AA16" s="6">
        <f>'25.07.2026'!F18</f>
        <v>0</v>
      </c>
      <c r="AB16" s="6"/>
      <c r="AC16" s="2">
        <f>'27.07.2026'!F18</f>
        <v>0</v>
      </c>
      <c r="AD16" s="2">
        <f>'28.07.2026'!F18</f>
        <v>0</v>
      </c>
      <c r="AE16" s="2">
        <f>'29.07.2026'!F18</f>
        <v>0</v>
      </c>
      <c r="AF16" s="2">
        <f>'30.07.2026'!F18</f>
        <v>0</v>
      </c>
      <c r="AG16" s="58">
        <f>'31.07.2026'!F18</f>
        <v>0</v>
      </c>
      <c r="AH16"/>
      <c r="AI16" s="22">
        <f t="shared" si="1"/>
        <v>2</v>
      </c>
    </row>
    <row r="17" spans="1:35" ht="17.25" customHeight="1" x14ac:dyDescent="0.25">
      <c r="A17" s="4">
        <v>4</v>
      </c>
      <c r="B17" s="1" t="s">
        <v>17</v>
      </c>
      <c r="C17" s="2">
        <f>'01.07.2026'!F19</f>
        <v>0</v>
      </c>
      <c r="D17" s="2">
        <f>'02.07.2026'!F19</f>
        <v>0</v>
      </c>
      <c r="E17" s="2">
        <f>'03.07.2026'!F19</f>
        <v>0</v>
      </c>
      <c r="F17" s="6">
        <f>'04.07.2026'!F19</f>
        <v>0</v>
      </c>
      <c r="G17" s="6"/>
      <c r="H17" s="2">
        <f>'06.07.2026'!F19</f>
        <v>0</v>
      </c>
      <c r="I17" s="2">
        <f>'07.07.2026'!F19</f>
        <v>0</v>
      </c>
      <c r="J17" s="2">
        <f>'08.07.2026'!F19</f>
        <v>0</v>
      </c>
      <c r="K17" s="2">
        <f>'09.07.2026'!F19</f>
        <v>1</v>
      </c>
      <c r="L17" s="2">
        <f>'10.07.2026'!F19</f>
        <v>0</v>
      </c>
      <c r="M17" s="6">
        <f>'11.07.2026'!F19</f>
        <v>0</v>
      </c>
      <c r="N17" s="6"/>
      <c r="O17" s="2">
        <f>'13.07.2026'!F19</f>
        <v>0</v>
      </c>
      <c r="P17" s="2">
        <f>'14.07.2026'!F19</f>
        <v>0</v>
      </c>
      <c r="Q17" s="2">
        <f>'15.07.2026'!F19</f>
        <v>0</v>
      </c>
      <c r="R17" s="2">
        <f>'16.07.2026'!F19</f>
        <v>0</v>
      </c>
      <c r="S17" s="2">
        <f>'17.07.2026'!F19</f>
        <v>1</v>
      </c>
      <c r="T17" s="6">
        <f>'18.07.2026'!F19</f>
        <v>0</v>
      </c>
      <c r="U17" s="6"/>
      <c r="V17" s="2">
        <f>'20.07.2026'!F19</f>
        <v>0</v>
      </c>
      <c r="W17" s="2">
        <f>'21.07.2026'!F19</f>
        <v>0</v>
      </c>
      <c r="X17" s="2">
        <f>'22.07.2026'!F19</f>
        <v>0</v>
      </c>
      <c r="Y17" s="2">
        <f>'23.07.2026'!F19</f>
        <v>0</v>
      </c>
      <c r="Z17" s="2">
        <f>'24.07.2026'!F19</f>
        <v>0</v>
      </c>
      <c r="AA17" s="6">
        <f>'25.07.2026'!F19</f>
        <v>0</v>
      </c>
      <c r="AB17" s="6"/>
      <c r="AC17" s="2">
        <f>'27.07.2026'!F19</f>
        <v>0</v>
      </c>
      <c r="AD17" s="2">
        <f>'28.07.2026'!F19</f>
        <v>0</v>
      </c>
      <c r="AE17" s="2">
        <f>'29.07.2026'!F19</f>
        <v>0</v>
      </c>
      <c r="AF17" s="2">
        <f>'30.07.2026'!F19</f>
        <v>0</v>
      </c>
      <c r="AG17" s="58">
        <f>'31.07.2026'!F19</f>
        <v>0</v>
      </c>
      <c r="AH17"/>
      <c r="AI17" s="22">
        <f t="shared" si="1"/>
        <v>2</v>
      </c>
    </row>
    <row r="18" spans="1:35" ht="17.25" customHeight="1" x14ac:dyDescent="0.25">
      <c r="A18" s="4">
        <v>5</v>
      </c>
      <c r="B18" s="1" t="s">
        <v>10</v>
      </c>
      <c r="C18" s="2">
        <f>'01.07.2026'!F20</f>
        <v>0</v>
      </c>
      <c r="D18" s="2">
        <f>'02.07.2026'!F20</f>
        <v>0</v>
      </c>
      <c r="E18" s="2">
        <f>'03.07.2026'!F20</f>
        <v>0</v>
      </c>
      <c r="F18" s="6">
        <f>'04.07.2026'!F20</f>
        <v>0</v>
      </c>
      <c r="G18" s="6"/>
      <c r="H18" s="2">
        <f>'06.07.2026'!F20</f>
        <v>0</v>
      </c>
      <c r="I18" s="2">
        <f>'07.07.2026'!F20</f>
        <v>0</v>
      </c>
      <c r="J18" s="2">
        <f>'08.07.2026'!F20</f>
        <v>0</v>
      </c>
      <c r="K18" s="2">
        <f>'09.07.2026'!F20</f>
        <v>0</v>
      </c>
      <c r="L18" s="2">
        <f>'10.07.2026'!F20</f>
        <v>0</v>
      </c>
      <c r="M18" s="6">
        <f>'11.07.2026'!F20</f>
        <v>0</v>
      </c>
      <c r="N18" s="6"/>
      <c r="O18" s="2">
        <f>'13.07.2026'!F20</f>
        <v>0</v>
      </c>
      <c r="P18" s="2">
        <f>'14.07.2026'!F20</f>
        <v>0</v>
      </c>
      <c r="Q18" s="2">
        <f>'15.07.2026'!F20</f>
        <v>1</v>
      </c>
      <c r="R18" s="2">
        <f>'16.07.2026'!F20</f>
        <v>1</v>
      </c>
      <c r="S18" s="2">
        <f>'17.07.2026'!F20</f>
        <v>0</v>
      </c>
      <c r="T18" s="6">
        <f>'18.07.2026'!F20</f>
        <v>0</v>
      </c>
      <c r="U18" s="6"/>
      <c r="V18" s="2">
        <f>'20.07.2026'!F20</f>
        <v>0</v>
      </c>
      <c r="W18" s="2">
        <f>'21.07.2026'!F20</f>
        <v>0</v>
      </c>
      <c r="X18" s="2">
        <f>'22.07.2026'!F20</f>
        <v>1</v>
      </c>
      <c r="Y18" s="2">
        <f>'23.07.2026'!F20</f>
        <v>0</v>
      </c>
      <c r="Z18" s="2">
        <f>'24.07.2026'!F20</f>
        <v>0</v>
      </c>
      <c r="AA18" s="6">
        <f>'25.07.2026'!F20</f>
        <v>0</v>
      </c>
      <c r="AB18" s="6"/>
      <c r="AC18" s="2">
        <f>'27.07.2026'!F20</f>
        <v>0</v>
      </c>
      <c r="AD18" s="2">
        <f>'28.07.2026'!F20</f>
        <v>0</v>
      </c>
      <c r="AE18" s="2">
        <f>'29.07.2026'!F20</f>
        <v>0</v>
      </c>
      <c r="AF18" s="2">
        <f>'30.07.2026'!F20</f>
        <v>0</v>
      </c>
      <c r="AG18" s="58">
        <f>'31.07.2026'!F20</f>
        <v>0</v>
      </c>
      <c r="AH18"/>
      <c r="AI18" s="22">
        <f t="shared" si="1"/>
        <v>3</v>
      </c>
    </row>
    <row r="19" spans="1:35" ht="17.25" customHeight="1" x14ac:dyDescent="0.25">
      <c r="A19" s="4">
        <v>6</v>
      </c>
      <c r="B19" s="1" t="s">
        <v>18</v>
      </c>
      <c r="C19" s="2">
        <f>'01.07.2026'!F21</f>
        <v>0</v>
      </c>
      <c r="D19" s="2">
        <f>'02.07.2026'!F21</f>
        <v>0</v>
      </c>
      <c r="E19" s="2">
        <f>'03.07.2026'!F21</f>
        <v>0</v>
      </c>
      <c r="F19" s="6">
        <f>'04.07.2026'!F21</f>
        <v>0</v>
      </c>
      <c r="G19" s="6"/>
      <c r="H19" s="2">
        <f>'06.07.2026'!F21</f>
        <v>0</v>
      </c>
      <c r="I19" s="2">
        <f>'07.07.2026'!F21</f>
        <v>0</v>
      </c>
      <c r="J19" s="2">
        <f>'08.07.2026'!F21</f>
        <v>0</v>
      </c>
      <c r="K19" s="2">
        <f>'09.07.2026'!F21</f>
        <v>0</v>
      </c>
      <c r="L19" s="2">
        <f>'10.07.2026'!F21</f>
        <v>0</v>
      </c>
      <c r="M19" s="6">
        <f>'11.07.2026'!F21</f>
        <v>0</v>
      </c>
      <c r="N19" s="6"/>
      <c r="O19" s="2">
        <f>'13.07.2026'!F21</f>
        <v>0</v>
      </c>
      <c r="P19" s="2">
        <f>'14.07.2026'!F21</f>
        <v>0</v>
      </c>
      <c r="Q19" s="2">
        <f>'15.07.2026'!F21</f>
        <v>0</v>
      </c>
      <c r="R19" s="2">
        <f>'16.07.2026'!F21</f>
        <v>0</v>
      </c>
      <c r="S19" s="2">
        <f>'17.07.2026'!F21</f>
        <v>0</v>
      </c>
      <c r="T19" s="6">
        <f>'18.07.2026'!F21</f>
        <v>0</v>
      </c>
      <c r="U19" s="6"/>
      <c r="V19" s="2">
        <f>'20.07.2026'!F21</f>
        <v>0</v>
      </c>
      <c r="W19" s="2">
        <f>'21.07.2026'!F21</f>
        <v>0</v>
      </c>
      <c r="X19" s="2">
        <f>'22.07.2026'!F21</f>
        <v>1</v>
      </c>
      <c r="Y19" s="2">
        <f>'23.07.2026'!F21</f>
        <v>0</v>
      </c>
      <c r="Z19" s="2">
        <f>'24.07.2026'!F21</f>
        <v>1</v>
      </c>
      <c r="AA19" s="6">
        <f>'25.07.2026'!F21</f>
        <v>0</v>
      </c>
      <c r="AB19" s="6"/>
      <c r="AC19" s="2">
        <f>'27.07.2026'!F21</f>
        <v>1</v>
      </c>
      <c r="AD19" s="2">
        <f>'28.07.2026'!F21</f>
        <v>0</v>
      </c>
      <c r="AE19" s="2">
        <f>'29.07.2026'!F21</f>
        <v>3</v>
      </c>
      <c r="AF19" s="2">
        <f>'30.07.2026'!F21</f>
        <v>0</v>
      </c>
      <c r="AG19" s="58">
        <f>'31.07.2026'!F21</f>
        <v>0</v>
      </c>
      <c r="AH19"/>
      <c r="AI19" s="22">
        <f t="shared" si="1"/>
        <v>6</v>
      </c>
    </row>
    <row r="20" spans="1:35" ht="17.25" customHeight="1" x14ac:dyDescent="0.25">
      <c r="A20" s="4">
        <v>7</v>
      </c>
      <c r="B20" s="17" t="s">
        <v>19</v>
      </c>
      <c r="C20" s="2">
        <f>'01.07.2026'!F22</f>
        <v>0</v>
      </c>
      <c r="D20" s="2">
        <f>'02.07.2026'!F22</f>
        <v>0</v>
      </c>
      <c r="E20" s="2">
        <f>'03.07.2026'!F22</f>
        <v>0</v>
      </c>
      <c r="F20" s="6">
        <f>'04.07.2026'!F22</f>
        <v>0</v>
      </c>
      <c r="G20" s="6"/>
      <c r="H20" s="2">
        <f>'06.07.2026'!F22</f>
        <v>0</v>
      </c>
      <c r="I20" s="2">
        <f>'07.07.2026'!F22</f>
        <v>0</v>
      </c>
      <c r="J20" s="2">
        <f>'08.07.2026'!F22</f>
        <v>0</v>
      </c>
      <c r="K20" s="2">
        <f>'09.07.2026'!F22</f>
        <v>0</v>
      </c>
      <c r="L20" s="2">
        <f>'10.07.2026'!F22</f>
        <v>0</v>
      </c>
      <c r="M20" s="6">
        <f>'11.07.2026'!F22</f>
        <v>0</v>
      </c>
      <c r="N20" s="6"/>
      <c r="O20" s="2">
        <f>'13.07.2026'!F22</f>
        <v>0</v>
      </c>
      <c r="P20" s="2">
        <f>'14.07.2026'!F22</f>
        <v>0</v>
      </c>
      <c r="Q20" s="2">
        <f>'15.07.2026'!F22</f>
        <v>0</v>
      </c>
      <c r="R20" s="2">
        <f>'16.07.2026'!F22</f>
        <v>0</v>
      </c>
      <c r="S20" s="2">
        <f>'17.07.2026'!F22</f>
        <v>0</v>
      </c>
      <c r="T20" s="6">
        <f>'18.07.2026'!F22</f>
        <v>0</v>
      </c>
      <c r="U20" s="6"/>
      <c r="V20" s="2">
        <f>'20.07.2026'!F22</f>
        <v>0</v>
      </c>
      <c r="W20" s="2">
        <f>'21.07.2026'!F22</f>
        <v>0</v>
      </c>
      <c r="X20" s="2">
        <f>'22.07.2026'!F22</f>
        <v>0</v>
      </c>
      <c r="Y20" s="2">
        <f>'23.07.2026'!F22</f>
        <v>0</v>
      </c>
      <c r="Z20" s="2">
        <f>'24.07.2026'!F22</f>
        <v>0</v>
      </c>
      <c r="AA20" s="6">
        <f>'25.07.2026'!F22</f>
        <v>0</v>
      </c>
      <c r="AB20" s="6"/>
      <c r="AC20" s="2">
        <f>'27.07.2026'!F22</f>
        <v>0</v>
      </c>
      <c r="AD20" s="2">
        <f>'28.07.2026'!F22</f>
        <v>0</v>
      </c>
      <c r="AE20" s="2">
        <f>'29.07.2026'!F22</f>
        <v>0</v>
      </c>
      <c r="AF20" s="2">
        <f>'30.07.2026'!F22</f>
        <v>0</v>
      </c>
      <c r="AG20" s="58">
        <f>'31.07.2026'!F22</f>
        <v>0</v>
      </c>
      <c r="AH20"/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'01.07.2026'!F23</f>
        <v>0</v>
      </c>
      <c r="D21" s="2">
        <f>'02.07.2026'!F23</f>
        <v>0</v>
      </c>
      <c r="E21" s="2">
        <f>'03.07.2026'!F23</f>
        <v>0</v>
      </c>
      <c r="F21" s="6">
        <f>'04.07.2026'!F23</f>
        <v>0</v>
      </c>
      <c r="G21" s="6"/>
      <c r="H21" s="2">
        <f>'06.07.2026'!F23</f>
        <v>0</v>
      </c>
      <c r="I21" s="2">
        <f>'07.07.2026'!F23</f>
        <v>0</v>
      </c>
      <c r="J21" s="2">
        <f>'08.07.2026'!F23</f>
        <v>0</v>
      </c>
      <c r="K21" s="2">
        <f>'09.07.2026'!F23</f>
        <v>0</v>
      </c>
      <c r="L21" s="2">
        <f>'10.07.2026'!F23</f>
        <v>0</v>
      </c>
      <c r="M21" s="6">
        <f>'11.07.2026'!F23</f>
        <v>0</v>
      </c>
      <c r="N21" s="6"/>
      <c r="O21" s="2">
        <f>'13.07.2026'!F23</f>
        <v>0</v>
      </c>
      <c r="P21" s="2">
        <f>'14.07.2026'!F23</f>
        <v>0</v>
      </c>
      <c r="Q21" s="2">
        <f>'15.07.2026'!F23</f>
        <v>0</v>
      </c>
      <c r="R21" s="2">
        <f>'16.07.2026'!F23</f>
        <v>0</v>
      </c>
      <c r="S21" s="2">
        <f>'17.07.2026'!F23</f>
        <v>0</v>
      </c>
      <c r="T21" s="6">
        <f>'18.07.2026'!F23</f>
        <v>0</v>
      </c>
      <c r="U21" s="6"/>
      <c r="V21" s="2">
        <f>'20.07.2026'!F23</f>
        <v>0</v>
      </c>
      <c r="W21" s="2">
        <f>'21.07.2026'!F23</f>
        <v>0</v>
      </c>
      <c r="X21" s="2">
        <f>'22.07.2026'!F23</f>
        <v>0</v>
      </c>
      <c r="Y21" s="2">
        <f>'23.07.2026'!F23</f>
        <v>0</v>
      </c>
      <c r="Z21" s="2">
        <f>'24.07.2026'!F23</f>
        <v>0</v>
      </c>
      <c r="AA21" s="6">
        <f>'25.07.2026'!F23</f>
        <v>0</v>
      </c>
      <c r="AB21" s="6"/>
      <c r="AC21" s="2">
        <f>'27.07.2026'!F23</f>
        <v>0</v>
      </c>
      <c r="AD21" s="2">
        <f>'28.07.2026'!F23</f>
        <v>0</v>
      </c>
      <c r="AE21" s="2">
        <f>'29.07.2026'!F23</f>
        <v>0</v>
      </c>
      <c r="AF21" s="2">
        <f>'30.07.2026'!F23</f>
        <v>0</v>
      </c>
      <c r="AG21" s="58">
        <f>'31.07.2026'!F23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'01.07.2026'!F24</f>
        <v>0</v>
      </c>
      <c r="D22" s="2">
        <f>'02.07.2026'!F24</f>
        <v>0</v>
      </c>
      <c r="E22" s="2">
        <f>'03.07.2026'!F24</f>
        <v>0</v>
      </c>
      <c r="F22" s="6">
        <f>'04.07.2026'!F24</f>
        <v>0</v>
      </c>
      <c r="G22" s="6"/>
      <c r="H22" s="2">
        <f>'06.07.2026'!F24</f>
        <v>0</v>
      </c>
      <c r="I22" s="2">
        <f>'07.07.2026'!F24</f>
        <v>0</v>
      </c>
      <c r="J22" s="2">
        <f>'08.07.2026'!F24</f>
        <v>0</v>
      </c>
      <c r="K22" s="2">
        <f>'09.07.2026'!F24</f>
        <v>0</v>
      </c>
      <c r="L22" s="2">
        <f>'10.07.2026'!F24</f>
        <v>0</v>
      </c>
      <c r="M22" s="6">
        <f>'11.07.2026'!F24</f>
        <v>0</v>
      </c>
      <c r="N22" s="6"/>
      <c r="O22" s="2">
        <f>'13.07.2026'!F24</f>
        <v>0</v>
      </c>
      <c r="P22" s="2">
        <f>'14.07.2026'!F24</f>
        <v>0</v>
      </c>
      <c r="Q22" s="2">
        <f>'15.07.2026'!F24</f>
        <v>0</v>
      </c>
      <c r="R22" s="2">
        <f>'16.07.2026'!F24</f>
        <v>0</v>
      </c>
      <c r="S22" s="2">
        <f>'17.07.2026'!F24</f>
        <v>0</v>
      </c>
      <c r="T22" s="6">
        <f>'18.07.2026'!F24</f>
        <v>0</v>
      </c>
      <c r="U22" s="6"/>
      <c r="V22" s="2">
        <f>'20.07.2026'!F24</f>
        <v>0</v>
      </c>
      <c r="W22" s="2">
        <f>'21.07.2026'!F24</f>
        <v>0</v>
      </c>
      <c r="X22" s="2">
        <f>'22.07.2026'!F24</f>
        <v>0</v>
      </c>
      <c r="Y22" s="2">
        <f>'23.07.2026'!F24</f>
        <v>0</v>
      </c>
      <c r="Z22" s="2">
        <f>'24.07.2026'!F24</f>
        <v>0</v>
      </c>
      <c r="AA22" s="6">
        <f>'25.07.2026'!F24</f>
        <v>0</v>
      </c>
      <c r="AB22" s="6"/>
      <c r="AC22" s="2">
        <f>'27.07.2026'!F24</f>
        <v>0</v>
      </c>
      <c r="AD22" s="2">
        <f>'28.07.2026'!F24</f>
        <v>0</v>
      </c>
      <c r="AE22" s="2">
        <f>'29.07.2026'!F24</f>
        <v>0</v>
      </c>
      <c r="AF22" s="2">
        <f>'30.07.2026'!F24</f>
        <v>0</v>
      </c>
      <c r="AG22" s="58">
        <f>'31.07.2026'!F24</f>
        <v>0</v>
      </c>
      <c r="AH22"/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'01.07.2026'!F25</f>
        <v>0</v>
      </c>
      <c r="D23" s="2">
        <f>'02.07.2026'!F25</f>
        <v>0</v>
      </c>
      <c r="E23" s="2">
        <f>'03.07.2026'!F25</f>
        <v>0</v>
      </c>
      <c r="F23" s="6">
        <f>'04.07.2026'!F25</f>
        <v>0</v>
      </c>
      <c r="G23" s="6"/>
      <c r="H23" s="2">
        <f>'06.07.2026'!F25</f>
        <v>0</v>
      </c>
      <c r="I23" s="2">
        <f>'07.07.2026'!F25</f>
        <v>0</v>
      </c>
      <c r="J23" s="2">
        <f>'08.07.2026'!F25</f>
        <v>0</v>
      </c>
      <c r="K23" s="2">
        <f>'09.07.2026'!F25</f>
        <v>0</v>
      </c>
      <c r="L23" s="2">
        <f>'10.07.2026'!F25</f>
        <v>0</v>
      </c>
      <c r="M23" s="6">
        <f>'11.07.2026'!F25</f>
        <v>0</v>
      </c>
      <c r="N23" s="6"/>
      <c r="O23" s="2">
        <f>'13.07.2026'!F25</f>
        <v>0</v>
      </c>
      <c r="P23" s="2">
        <f>'14.07.2026'!F25</f>
        <v>0</v>
      </c>
      <c r="Q23" s="2">
        <f>'15.07.2026'!F25</f>
        <v>0</v>
      </c>
      <c r="R23" s="2">
        <f>'16.07.2026'!F25</f>
        <v>0</v>
      </c>
      <c r="S23" s="2">
        <f>'17.07.2026'!F25</f>
        <v>0</v>
      </c>
      <c r="T23" s="6">
        <f>'18.07.2026'!F25</f>
        <v>0</v>
      </c>
      <c r="U23" s="6"/>
      <c r="V23" s="2">
        <f>'20.07.2026'!F25</f>
        <v>0</v>
      </c>
      <c r="W23" s="2">
        <f>'21.07.2026'!F25</f>
        <v>0</v>
      </c>
      <c r="X23" s="2">
        <f>'22.07.2026'!F25</f>
        <v>0</v>
      </c>
      <c r="Y23" s="2">
        <f>'23.07.2026'!F25</f>
        <v>0</v>
      </c>
      <c r="Z23" s="2">
        <f>'24.07.2026'!F25</f>
        <v>0</v>
      </c>
      <c r="AA23" s="6">
        <f>'25.07.2026'!F25</f>
        <v>0</v>
      </c>
      <c r="AB23" s="6"/>
      <c r="AC23" s="2">
        <f>'27.07.2026'!F25</f>
        <v>0</v>
      </c>
      <c r="AD23" s="2">
        <f>'28.07.2026'!F25</f>
        <v>0</v>
      </c>
      <c r="AE23" s="2">
        <f>'29.07.2026'!F25</f>
        <v>0</v>
      </c>
      <c r="AF23" s="2">
        <f>'30.07.2026'!F25</f>
        <v>0</v>
      </c>
      <c r="AG23" s="58">
        <f>'31.07.2026'!F25</f>
        <v>0</v>
      </c>
      <c r="AH23"/>
      <c r="AI23" s="22">
        <f t="shared" si="1"/>
        <v>0</v>
      </c>
    </row>
    <row r="24" spans="1:35" ht="17.25" customHeight="1" thickBot="1" x14ac:dyDescent="0.3">
      <c r="A24" s="13">
        <v>11</v>
      </c>
      <c r="B24" s="20" t="s">
        <v>23</v>
      </c>
      <c r="C24" s="5">
        <f>'01.07.2026'!F26</f>
        <v>0</v>
      </c>
      <c r="D24" s="5">
        <f>'02.07.2026'!F26</f>
        <v>0</v>
      </c>
      <c r="E24" s="5">
        <f>'03.07.2026'!F26</f>
        <v>0</v>
      </c>
      <c r="F24" s="7">
        <f>'04.07.2026'!F26</f>
        <v>0</v>
      </c>
      <c r="G24" s="7"/>
      <c r="H24" s="5">
        <f>'06.07.2026'!F26</f>
        <v>0</v>
      </c>
      <c r="I24" s="5">
        <f>'07.07.2026'!F26</f>
        <v>0</v>
      </c>
      <c r="J24" s="5">
        <f>'08.07.2026'!F26</f>
        <v>0</v>
      </c>
      <c r="K24" s="5">
        <f>'09.07.2026'!F26</f>
        <v>0</v>
      </c>
      <c r="L24" s="5">
        <f>'10.07.2026'!F26</f>
        <v>0</v>
      </c>
      <c r="M24" s="7">
        <f>'11.07.2026'!F26</f>
        <v>0</v>
      </c>
      <c r="N24" s="7"/>
      <c r="O24" s="5">
        <f>'13.07.2026'!F26</f>
        <v>0</v>
      </c>
      <c r="P24" s="5">
        <f>'14.07.2026'!F26</f>
        <v>0</v>
      </c>
      <c r="Q24" s="5">
        <f>'15.07.2026'!F26</f>
        <v>1</v>
      </c>
      <c r="R24" s="5">
        <f>'16.07.2026'!F26</f>
        <v>0</v>
      </c>
      <c r="S24" s="5">
        <f>'17.07.2026'!F26</f>
        <v>0</v>
      </c>
      <c r="T24" s="7">
        <f>'18.07.2026'!F26</f>
        <v>0</v>
      </c>
      <c r="U24" s="7"/>
      <c r="V24" s="5">
        <f>'20.07.2026'!F26</f>
        <v>0</v>
      </c>
      <c r="W24" s="5">
        <f>'21.07.2026'!F26</f>
        <v>0</v>
      </c>
      <c r="X24" s="5">
        <f>'22.07.2026'!F26</f>
        <v>0</v>
      </c>
      <c r="Y24" s="5">
        <f>'23.07.2026'!F26</f>
        <v>1</v>
      </c>
      <c r="Z24" s="5">
        <f>'24.07.2026'!F26</f>
        <v>0</v>
      </c>
      <c r="AA24" s="7">
        <f>'25.07.2026'!F26</f>
        <v>1</v>
      </c>
      <c r="AB24" s="7"/>
      <c r="AC24" s="5">
        <f>'27.07.2026'!F26</f>
        <v>0</v>
      </c>
      <c r="AD24" s="5">
        <f>'28.07.2026'!F26</f>
        <v>0</v>
      </c>
      <c r="AE24" s="5">
        <f>'29.07.2026'!F26</f>
        <v>1</v>
      </c>
      <c r="AF24" s="5">
        <f>'30.07.2026'!F26</f>
        <v>0</v>
      </c>
      <c r="AG24" s="59">
        <f>'31.07.2026'!F26</f>
        <v>0</v>
      </c>
      <c r="AH24"/>
      <c r="AI24" s="22">
        <f t="shared" si="1"/>
        <v>4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79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'01.07.2026'!F29</f>
        <v>0</v>
      </c>
      <c r="D27" s="2">
        <f>'02.07.2026'!F29</f>
        <v>0</v>
      </c>
      <c r="E27" s="2">
        <f>'03.07.2026'!F29</f>
        <v>0</v>
      </c>
      <c r="F27" s="6">
        <f>'04.07.2026'!F29</f>
        <v>0</v>
      </c>
      <c r="G27" s="6"/>
      <c r="H27" s="2">
        <f>'06.07.2026'!F29</f>
        <v>0</v>
      </c>
      <c r="I27" s="2">
        <f>'07.07.2026'!F29</f>
        <v>0</v>
      </c>
      <c r="J27" s="2">
        <f>'08.07.2026'!F29</f>
        <v>0</v>
      </c>
      <c r="K27" s="2">
        <f>'09.07.2026'!F29</f>
        <v>0</v>
      </c>
      <c r="L27" s="2">
        <f>'10.07.2026'!F29</f>
        <v>0</v>
      </c>
      <c r="M27" s="6">
        <f>'11.07.2026'!F29</f>
        <v>0</v>
      </c>
      <c r="N27" s="6"/>
      <c r="O27" s="2">
        <f>'13.07.2026'!F29</f>
        <v>0</v>
      </c>
      <c r="P27" s="2">
        <f>'14.07.2026'!F29</f>
        <v>0</v>
      </c>
      <c r="Q27" s="2">
        <f>'15.07.2026'!F29</f>
        <v>0</v>
      </c>
      <c r="R27" s="2">
        <f>'16.07.2026'!F29</f>
        <v>0</v>
      </c>
      <c r="S27" s="2">
        <f>'17.07.2026'!F29</f>
        <v>1</v>
      </c>
      <c r="T27" s="6">
        <f>'18.07.2026'!F29</f>
        <v>0</v>
      </c>
      <c r="U27" s="6"/>
      <c r="V27" s="2">
        <f>'20.07.2026'!F29</f>
        <v>0</v>
      </c>
      <c r="W27" s="2">
        <f>'21.07.2026'!F29</f>
        <v>0</v>
      </c>
      <c r="X27" s="2">
        <f>'22.07.2026'!F29</f>
        <v>0</v>
      </c>
      <c r="Y27" s="2">
        <f>'23.07.2026'!F29</f>
        <v>0</v>
      </c>
      <c r="Z27" s="2">
        <f>'24.07.2026'!F29</f>
        <v>0</v>
      </c>
      <c r="AA27" s="6">
        <f>'25.07.2026'!F29</f>
        <v>0</v>
      </c>
      <c r="AB27" s="6"/>
      <c r="AC27" s="2">
        <f>'27.07.2026'!F29</f>
        <v>0</v>
      </c>
      <c r="AD27" s="2">
        <f>'28.07.2026'!F29</f>
        <v>0</v>
      </c>
      <c r="AE27" s="2">
        <f>'29.07.2026'!F29</f>
        <v>0</v>
      </c>
      <c r="AF27" s="2">
        <f>'30.07.2026'!F29</f>
        <v>0</v>
      </c>
      <c r="AG27" s="58">
        <f>'31.07.2026'!F29</f>
        <v>0</v>
      </c>
      <c r="AH27"/>
      <c r="AI27" s="22">
        <f t="shared" ref="AI27:AI31" si="2">SUM(C27:AF27)</f>
        <v>1</v>
      </c>
    </row>
    <row r="28" spans="1:35" ht="17.25" customHeight="1" x14ac:dyDescent="0.25">
      <c r="A28" s="4">
        <v>2</v>
      </c>
      <c r="B28" s="18" t="s">
        <v>26</v>
      </c>
      <c r="C28" s="2">
        <f>'01.07.2026'!F30</f>
        <v>0</v>
      </c>
      <c r="D28" s="2">
        <f>'02.07.2026'!F30</f>
        <v>0</v>
      </c>
      <c r="E28" s="2">
        <f>'03.07.2026'!F30</f>
        <v>0</v>
      </c>
      <c r="F28" s="6">
        <f>'04.07.2026'!F30</f>
        <v>0</v>
      </c>
      <c r="G28" s="6"/>
      <c r="H28" s="2">
        <f>'06.07.2026'!F30</f>
        <v>0</v>
      </c>
      <c r="I28" s="2">
        <f>'07.07.2026'!F30</f>
        <v>0</v>
      </c>
      <c r="J28" s="2">
        <f>'08.07.2026'!F30</f>
        <v>0</v>
      </c>
      <c r="K28" s="2">
        <f>'09.07.2026'!F30</f>
        <v>0</v>
      </c>
      <c r="L28" s="2">
        <f>'10.07.2026'!F30</f>
        <v>0</v>
      </c>
      <c r="M28" s="6">
        <f>'11.07.2026'!F30</f>
        <v>0</v>
      </c>
      <c r="N28" s="6"/>
      <c r="O28" s="2">
        <f>'13.07.2026'!F30</f>
        <v>0</v>
      </c>
      <c r="P28" s="2">
        <f>'14.07.2026'!F30</f>
        <v>0</v>
      </c>
      <c r="Q28" s="2">
        <f>'15.07.2026'!F30</f>
        <v>0</v>
      </c>
      <c r="R28" s="2">
        <f>'16.07.2026'!F30</f>
        <v>0</v>
      </c>
      <c r="S28" s="2">
        <f>'17.07.2026'!F30</f>
        <v>0</v>
      </c>
      <c r="T28" s="6">
        <f>'18.07.2026'!F30</f>
        <v>0</v>
      </c>
      <c r="U28" s="6"/>
      <c r="V28" s="2">
        <f>'20.07.2026'!F30</f>
        <v>0</v>
      </c>
      <c r="W28" s="2">
        <f>'21.07.2026'!F30</f>
        <v>0</v>
      </c>
      <c r="X28" s="2">
        <f>'22.07.2026'!F30</f>
        <v>0</v>
      </c>
      <c r="Y28" s="2">
        <f>'23.07.2026'!F30</f>
        <v>0</v>
      </c>
      <c r="Z28" s="2">
        <f>'24.07.2026'!F30</f>
        <v>0</v>
      </c>
      <c r="AA28" s="6">
        <f>'25.07.2026'!F30</f>
        <v>0</v>
      </c>
      <c r="AB28" s="6"/>
      <c r="AC28" s="2">
        <f>'27.07.2026'!F30</f>
        <v>0</v>
      </c>
      <c r="AD28" s="2">
        <f>'28.07.2026'!F30</f>
        <v>0</v>
      </c>
      <c r="AE28" s="2">
        <f>'29.07.2026'!F30</f>
        <v>0</v>
      </c>
      <c r="AF28" s="2">
        <f>'30.07.2026'!F30</f>
        <v>0</v>
      </c>
      <c r="AG28" s="58">
        <f>'31.07.2026'!F30</f>
        <v>3</v>
      </c>
      <c r="AH28"/>
      <c r="AI28" s="22">
        <f t="shared" si="2"/>
        <v>0</v>
      </c>
    </row>
    <row r="29" spans="1:35" ht="17.25" customHeight="1" x14ac:dyDescent="0.25">
      <c r="A29" s="4">
        <v>3</v>
      </c>
      <c r="B29" s="18" t="s">
        <v>27</v>
      </c>
      <c r="C29" s="2">
        <f>'01.07.2026'!F31</f>
        <v>0</v>
      </c>
      <c r="D29" s="2">
        <f>'02.07.2026'!F31</f>
        <v>0</v>
      </c>
      <c r="E29" s="2">
        <f>'03.07.2026'!F31</f>
        <v>0</v>
      </c>
      <c r="F29" s="6">
        <f>'04.07.2026'!F31</f>
        <v>0</v>
      </c>
      <c r="G29" s="6"/>
      <c r="H29" s="2">
        <f>'06.07.2026'!F31</f>
        <v>0</v>
      </c>
      <c r="I29" s="2">
        <f>'07.07.2026'!F31</f>
        <v>0</v>
      </c>
      <c r="J29" s="2">
        <f>'08.07.2026'!F31</f>
        <v>0</v>
      </c>
      <c r="K29" s="2">
        <f>'09.07.2026'!F31</f>
        <v>0</v>
      </c>
      <c r="L29" s="2">
        <f>'10.07.2026'!F31</f>
        <v>0</v>
      </c>
      <c r="M29" s="6">
        <f>'11.07.2026'!F31</f>
        <v>12</v>
      </c>
      <c r="N29" s="6"/>
      <c r="O29" s="2">
        <f>'13.07.2026'!F31</f>
        <v>0</v>
      </c>
      <c r="P29" s="2">
        <f>'14.07.2026'!F31</f>
        <v>0</v>
      </c>
      <c r="Q29" s="2">
        <f>'15.07.2026'!F31</f>
        <v>0</v>
      </c>
      <c r="R29" s="2">
        <f>'16.07.2026'!F31</f>
        <v>0</v>
      </c>
      <c r="S29" s="2">
        <f>'17.07.2026'!F31</f>
        <v>0</v>
      </c>
      <c r="T29" s="6">
        <f>'18.07.2026'!F31</f>
        <v>8</v>
      </c>
      <c r="U29" s="6"/>
      <c r="V29" s="2">
        <f>'20.07.2026'!F31</f>
        <v>0</v>
      </c>
      <c r="W29" s="2">
        <f>'21.07.2026'!F31</f>
        <v>0</v>
      </c>
      <c r="X29" s="2">
        <f>'22.07.2026'!F31</f>
        <v>0</v>
      </c>
      <c r="Y29" s="2">
        <f>'23.07.2026'!F31</f>
        <v>0</v>
      </c>
      <c r="Z29" s="2">
        <f>'24.07.2026'!F31</f>
        <v>0</v>
      </c>
      <c r="AA29" s="6">
        <f>'25.07.2026'!F31</f>
        <v>8</v>
      </c>
      <c r="AB29" s="6"/>
      <c r="AC29" s="2">
        <f>'27.07.2026'!F31</f>
        <v>0</v>
      </c>
      <c r="AD29" s="2">
        <f>'28.07.2026'!F31</f>
        <v>0</v>
      </c>
      <c r="AE29" s="2">
        <f>'29.07.2026'!F31</f>
        <v>0</v>
      </c>
      <c r="AF29" s="2">
        <f>'30.07.2026'!F31</f>
        <v>0</v>
      </c>
      <c r="AG29" s="58">
        <f>'31.07.2026'!F31</f>
        <v>0</v>
      </c>
      <c r="AH29"/>
      <c r="AI29" s="22">
        <f t="shared" si="2"/>
        <v>28</v>
      </c>
    </row>
    <row r="30" spans="1:35" ht="17.25" customHeight="1" x14ac:dyDescent="0.25">
      <c r="A30" s="4">
        <v>4</v>
      </c>
      <c r="B30" s="18" t="s">
        <v>28</v>
      </c>
      <c r="C30" s="2">
        <f>'01.07.2026'!F32</f>
        <v>0</v>
      </c>
      <c r="D30" s="2">
        <f>'02.07.2026'!F32</f>
        <v>0</v>
      </c>
      <c r="E30" s="2">
        <f>'03.07.2026'!F32</f>
        <v>0</v>
      </c>
      <c r="F30" s="6">
        <f>'04.07.2026'!F32</f>
        <v>1</v>
      </c>
      <c r="G30" s="6"/>
      <c r="H30" s="2">
        <f>'06.07.2026'!F32</f>
        <v>0</v>
      </c>
      <c r="I30" s="2">
        <f>'07.07.2026'!F32</f>
        <v>0</v>
      </c>
      <c r="J30" s="2">
        <f>'08.07.2026'!F32</f>
        <v>0</v>
      </c>
      <c r="K30" s="2">
        <f>'09.07.2026'!F32</f>
        <v>0</v>
      </c>
      <c r="L30" s="2">
        <f>'10.07.2026'!F32</f>
        <v>0</v>
      </c>
      <c r="M30" s="6">
        <f>'11.07.2026'!F32</f>
        <v>0</v>
      </c>
      <c r="N30" s="6"/>
      <c r="O30" s="2">
        <f>'13.07.2026'!F32</f>
        <v>0</v>
      </c>
      <c r="P30" s="2">
        <f>'14.07.2026'!F32</f>
        <v>0</v>
      </c>
      <c r="Q30" s="2">
        <f>'15.07.2026'!F32</f>
        <v>0</v>
      </c>
      <c r="R30" s="2">
        <f>'16.07.2026'!F32</f>
        <v>0</v>
      </c>
      <c r="S30" s="2">
        <f>'17.07.2026'!F32</f>
        <v>0</v>
      </c>
      <c r="T30" s="6">
        <f>'18.07.2026'!F32</f>
        <v>0</v>
      </c>
      <c r="U30" s="6"/>
      <c r="V30" s="2">
        <f>'20.07.2026'!F32</f>
        <v>0</v>
      </c>
      <c r="W30" s="2">
        <f>'21.07.2026'!F32</f>
        <v>0</v>
      </c>
      <c r="X30" s="2">
        <f>'22.07.2026'!F32</f>
        <v>0</v>
      </c>
      <c r="Y30" s="2">
        <f>'23.07.2026'!F32</f>
        <v>0</v>
      </c>
      <c r="Z30" s="2">
        <f>'24.07.2026'!F32</f>
        <v>0</v>
      </c>
      <c r="AA30" s="6">
        <f>'25.07.2026'!F32</f>
        <v>0</v>
      </c>
      <c r="AB30" s="6"/>
      <c r="AC30" s="2">
        <f>'27.07.2026'!F32</f>
        <v>0</v>
      </c>
      <c r="AD30" s="2">
        <f>'28.07.2026'!F32</f>
        <v>3</v>
      </c>
      <c r="AE30" s="2">
        <f>'29.07.2026'!F32</f>
        <v>0</v>
      </c>
      <c r="AF30" s="2">
        <f>'30.07.2026'!F32</f>
        <v>0</v>
      </c>
      <c r="AG30" s="58">
        <f>'31.07.2026'!F32</f>
        <v>0</v>
      </c>
      <c r="AH30"/>
      <c r="AI30" s="22">
        <f t="shared" si="2"/>
        <v>4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'01.07.2026'!F33</f>
        <v>26</v>
      </c>
      <c r="D31" s="5">
        <f>'02.07.2026'!F33</f>
        <v>3</v>
      </c>
      <c r="E31" s="5">
        <f>'03.07.2026'!F33</f>
        <v>0</v>
      </c>
      <c r="F31" s="7">
        <f>'04.07.2026'!F33</f>
        <v>0</v>
      </c>
      <c r="G31" s="7"/>
      <c r="H31" s="5">
        <f>'06.07.2026'!F33</f>
        <v>2</v>
      </c>
      <c r="I31" s="5">
        <f>'07.07.2026'!F33</f>
        <v>1</v>
      </c>
      <c r="J31" s="5">
        <f>'08.07.2026'!F33</f>
        <v>0</v>
      </c>
      <c r="K31" s="5">
        <f>'09.07.2026'!F33</f>
        <v>0</v>
      </c>
      <c r="L31" s="5">
        <f>'10.07.2026'!F33</f>
        <v>1</v>
      </c>
      <c r="M31" s="7">
        <f>'11.07.2026'!F33</f>
        <v>0</v>
      </c>
      <c r="N31" s="7"/>
      <c r="O31" s="5">
        <f>'13.07.2026'!F33</f>
        <v>0</v>
      </c>
      <c r="P31" s="5">
        <f>'14.07.2026'!F33</f>
        <v>0</v>
      </c>
      <c r="Q31" s="5">
        <f>'15.07.2026'!F33</f>
        <v>2</v>
      </c>
      <c r="R31" s="5">
        <f>'16.07.2026'!F33</f>
        <v>0</v>
      </c>
      <c r="S31" s="5">
        <f>'17.07.2026'!F33</f>
        <v>0</v>
      </c>
      <c r="T31" s="7">
        <f>'18.07.2026'!F33</f>
        <v>0</v>
      </c>
      <c r="U31" s="7"/>
      <c r="V31" s="5">
        <f>'20.07.2026'!F33</f>
        <v>6</v>
      </c>
      <c r="W31" s="5">
        <f>'21.07.2026'!F33</f>
        <v>46</v>
      </c>
      <c r="X31" s="5">
        <f>'22.07.2026'!F33</f>
        <v>23</v>
      </c>
      <c r="Y31" s="5">
        <f>'23.07.2026'!F33</f>
        <v>19</v>
      </c>
      <c r="Z31" s="5">
        <f>'24.07.2026'!F33</f>
        <v>33</v>
      </c>
      <c r="AA31" s="7">
        <f>'25.07.2026'!F33</f>
        <v>5</v>
      </c>
      <c r="AB31" s="7"/>
      <c r="AC31" s="5">
        <f>'27.07.2026'!F33</f>
        <v>10</v>
      </c>
      <c r="AD31" s="5">
        <f>'28.07.2026'!F33</f>
        <v>10</v>
      </c>
      <c r="AE31" s="5">
        <f>'29.07.2026'!F33</f>
        <v>30</v>
      </c>
      <c r="AF31" s="5">
        <f>'30.07.2026'!F33</f>
        <v>30</v>
      </c>
      <c r="AG31" s="59">
        <f>'31.07.2026'!F33</f>
        <v>5</v>
      </c>
      <c r="AH31"/>
      <c r="AI31" s="22">
        <f t="shared" si="2"/>
        <v>247</v>
      </c>
    </row>
  </sheetData>
  <mergeCells count="3">
    <mergeCell ref="A1:AF1"/>
    <mergeCell ref="AI25:AI26"/>
    <mergeCell ref="AI12:AI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31B4-060F-49FE-BE67-BE3B8837BF2B}">
  <sheetPr codeName="Sheet30"/>
  <dimension ref="A1:AI31"/>
  <sheetViews>
    <sheetView workbookViewId="0">
      <selection activeCell="AI25" sqref="AI25:AI26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'01.07.2026'!G5</f>
        <v>0</v>
      </c>
      <c r="D3" s="2">
        <f>'02.07.2026'!G5</f>
        <v>0</v>
      </c>
      <c r="E3" s="2">
        <f>'03.07.2026'!G5</f>
        <v>0</v>
      </c>
      <c r="F3" s="6">
        <f>'04.07.2026'!G5</f>
        <v>0</v>
      </c>
      <c r="G3" s="6"/>
      <c r="H3" s="2">
        <f>'06.07.2026'!G5</f>
        <v>0</v>
      </c>
      <c r="I3" s="2">
        <f>'07.07.2026'!G5</f>
        <v>0</v>
      </c>
      <c r="J3" s="2">
        <f>'08.07.2026'!G5</f>
        <v>0</v>
      </c>
      <c r="K3" s="2">
        <f>'09.07.2026'!G5</f>
        <v>0</v>
      </c>
      <c r="L3" s="2">
        <f>'10.07.2026'!G5</f>
        <v>0</v>
      </c>
      <c r="M3" s="6">
        <f>'11.07.2026'!G5</f>
        <v>0</v>
      </c>
      <c r="N3" s="6"/>
      <c r="O3" s="2">
        <f>'13.07.2026'!G5</f>
        <v>0</v>
      </c>
      <c r="P3" s="2">
        <f>'14.07.2026'!G5</f>
        <v>0</v>
      </c>
      <c r="Q3" s="2">
        <f>'15.07.2026'!G5</f>
        <v>0</v>
      </c>
      <c r="R3" s="2">
        <f>'16.07.2026'!G5</f>
        <v>0</v>
      </c>
      <c r="S3" s="2">
        <f>'17.07.2026'!G5</f>
        <v>0</v>
      </c>
      <c r="T3" s="6">
        <f>'18.07.2026'!G5</f>
        <v>0</v>
      </c>
      <c r="U3" s="6"/>
      <c r="V3" s="2">
        <f>'20.07.2026'!G5</f>
        <v>0</v>
      </c>
      <c r="W3" s="2">
        <f>'21.07.2026'!G5</f>
        <v>0</v>
      </c>
      <c r="X3" s="2">
        <f>'22.07.2026'!G5</f>
        <v>0</v>
      </c>
      <c r="Y3" s="2">
        <f>'23.07.2026'!G5</f>
        <v>0</v>
      </c>
      <c r="Z3" s="2">
        <f>'24.07.2026'!G5</f>
        <v>0</v>
      </c>
      <c r="AA3" s="6">
        <f>'25.07.2026'!G5</f>
        <v>0</v>
      </c>
      <c r="AB3" s="6"/>
      <c r="AC3" s="2">
        <f>'27.07.2026'!G5</f>
        <v>0</v>
      </c>
      <c r="AD3" s="2">
        <f>'28.07.2026'!G5</f>
        <v>0</v>
      </c>
      <c r="AE3" s="2">
        <f>'29.07.2026'!G5</f>
        <v>0</v>
      </c>
      <c r="AF3" s="2">
        <f>'30.07.2026'!G5</f>
        <v>0</v>
      </c>
      <c r="AG3" s="58">
        <f>'31.07.2026'!G5</f>
        <v>0</v>
      </c>
      <c r="AH3"/>
      <c r="AI3" s="22">
        <f t="shared" ref="AI3:AI11" si="0">SUM(C3:AF3)</f>
        <v>0</v>
      </c>
    </row>
    <row r="4" spans="1:35" ht="17.25" customHeight="1" x14ac:dyDescent="0.25">
      <c r="A4" s="4">
        <v>2</v>
      </c>
      <c r="B4" s="1" t="s">
        <v>5</v>
      </c>
      <c r="C4" s="2">
        <f>'01.07.2026'!G6</f>
        <v>0</v>
      </c>
      <c r="D4" s="2">
        <f>'02.07.2026'!G6</f>
        <v>0</v>
      </c>
      <c r="E4" s="2">
        <f>'03.07.2026'!G6</f>
        <v>0</v>
      </c>
      <c r="F4" s="6">
        <f>'04.07.2026'!G6</f>
        <v>0</v>
      </c>
      <c r="G4" s="6"/>
      <c r="H4" s="2">
        <f>'06.07.2026'!G6</f>
        <v>0</v>
      </c>
      <c r="I4" s="2">
        <f>'07.07.2026'!G6</f>
        <v>0</v>
      </c>
      <c r="J4" s="2">
        <f>'08.07.2026'!G6</f>
        <v>0</v>
      </c>
      <c r="K4" s="2">
        <f>'09.07.2026'!G6</f>
        <v>0</v>
      </c>
      <c r="L4" s="2">
        <f>'10.07.2026'!G6</f>
        <v>0</v>
      </c>
      <c r="M4" s="6">
        <f>'11.07.2026'!G6</f>
        <v>0</v>
      </c>
      <c r="N4" s="6"/>
      <c r="O4" s="2">
        <f>'13.07.2026'!G6</f>
        <v>0</v>
      </c>
      <c r="P4" s="2">
        <f>'14.07.2026'!G6</f>
        <v>0</v>
      </c>
      <c r="Q4" s="2">
        <f>'15.07.2026'!G6</f>
        <v>0</v>
      </c>
      <c r="R4" s="2">
        <f>'16.07.2026'!G6</f>
        <v>0</v>
      </c>
      <c r="S4" s="2">
        <f>'17.07.2026'!G6</f>
        <v>0</v>
      </c>
      <c r="T4" s="6">
        <f>'18.07.2026'!G6</f>
        <v>0</v>
      </c>
      <c r="U4" s="6"/>
      <c r="V4" s="2">
        <f>'20.07.2026'!G6</f>
        <v>0</v>
      </c>
      <c r="W4" s="2">
        <f>'21.07.2026'!G6</f>
        <v>0</v>
      </c>
      <c r="X4" s="2">
        <f>'22.07.2026'!G6</f>
        <v>0</v>
      </c>
      <c r="Y4" s="2">
        <f>'23.07.2026'!G6</f>
        <v>0</v>
      </c>
      <c r="Z4" s="2">
        <f>'24.07.2026'!G6</f>
        <v>0</v>
      </c>
      <c r="AA4" s="6">
        <f>'25.07.2026'!G6</f>
        <v>0</v>
      </c>
      <c r="AB4" s="6"/>
      <c r="AC4" s="2">
        <f>'27.07.2026'!G6</f>
        <v>0</v>
      </c>
      <c r="AD4" s="2">
        <f>'28.07.2026'!G6</f>
        <v>0</v>
      </c>
      <c r="AE4" s="2">
        <f>'29.07.2026'!G6</f>
        <v>0</v>
      </c>
      <c r="AF4" s="2">
        <f>'30.07.2026'!G6</f>
        <v>0</v>
      </c>
      <c r="AG4" s="58">
        <f>'31.07.2026'!G6</f>
        <v>0</v>
      </c>
      <c r="AH4"/>
      <c r="AI4" s="22">
        <f t="shared" si="0"/>
        <v>0</v>
      </c>
    </row>
    <row r="5" spans="1:35" ht="17.25" customHeight="1" x14ac:dyDescent="0.25">
      <c r="A5" s="4">
        <v>3</v>
      </c>
      <c r="B5" s="1" t="s">
        <v>6</v>
      </c>
      <c r="C5" s="2">
        <f>'01.07.2026'!G7</f>
        <v>0</v>
      </c>
      <c r="D5" s="2">
        <f>'02.07.2026'!G7</f>
        <v>0</v>
      </c>
      <c r="E5" s="2">
        <f>'03.07.2026'!G7</f>
        <v>0</v>
      </c>
      <c r="F5" s="6">
        <f>'04.07.2026'!G7</f>
        <v>0</v>
      </c>
      <c r="G5" s="6"/>
      <c r="H5" s="2">
        <f>'06.07.2026'!G7</f>
        <v>0</v>
      </c>
      <c r="I5" s="2">
        <f>'07.07.2026'!G7</f>
        <v>0</v>
      </c>
      <c r="J5" s="2">
        <f>'08.07.2026'!G7</f>
        <v>0</v>
      </c>
      <c r="K5" s="2">
        <f>'09.07.2026'!G7</f>
        <v>0</v>
      </c>
      <c r="L5" s="2">
        <f>'10.07.2026'!G7</f>
        <v>0</v>
      </c>
      <c r="M5" s="6">
        <f>'11.07.2026'!G7</f>
        <v>0</v>
      </c>
      <c r="N5" s="6"/>
      <c r="O5" s="2">
        <f>'13.07.2026'!G7</f>
        <v>0</v>
      </c>
      <c r="P5" s="2">
        <f>'14.07.2026'!G7</f>
        <v>0</v>
      </c>
      <c r="Q5" s="2">
        <f>'15.07.2026'!G7</f>
        <v>0</v>
      </c>
      <c r="R5" s="2">
        <f>'16.07.2026'!G7</f>
        <v>0</v>
      </c>
      <c r="S5" s="2">
        <f>'17.07.2026'!G7</f>
        <v>0</v>
      </c>
      <c r="T5" s="6">
        <f>'18.07.2026'!G7</f>
        <v>0</v>
      </c>
      <c r="U5" s="6"/>
      <c r="V5" s="2">
        <f>'20.07.2026'!G7</f>
        <v>0</v>
      </c>
      <c r="W5" s="2">
        <f>'21.07.2026'!G7</f>
        <v>0</v>
      </c>
      <c r="X5" s="2">
        <f>'22.07.2026'!G7</f>
        <v>0</v>
      </c>
      <c r="Y5" s="2">
        <f>'23.07.2026'!G7</f>
        <v>0</v>
      </c>
      <c r="Z5" s="2">
        <f>'24.07.2026'!G7</f>
        <v>0</v>
      </c>
      <c r="AA5" s="6">
        <f>'25.07.2026'!G7</f>
        <v>0</v>
      </c>
      <c r="AB5" s="6"/>
      <c r="AC5" s="2">
        <f>'27.07.2026'!G7</f>
        <v>0</v>
      </c>
      <c r="AD5" s="2">
        <f>'28.07.2026'!G7</f>
        <v>0</v>
      </c>
      <c r="AE5" s="2">
        <f>'29.07.2026'!G7</f>
        <v>0</v>
      </c>
      <c r="AF5" s="2">
        <f>'30.07.2026'!G7</f>
        <v>0</v>
      </c>
      <c r="AG5" s="58">
        <f>'31.07.2026'!G7</f>
        <v>0</v>
      </c>
      <c r="AH5"/>
      <c r="AI5" s="22">
        <f t="shared" si="0"/>
        <v>0</v>
      </c>
    </row>
    <row r="6" spans="1:35" ht="17.25" customHeight="1" x14ac:dyDescent="0.25">
      <c r="A6" s="4">
        <v>4</v>
      </c>
      <c r="B6" s="1" t="s">
        <v>7</v>
      </c>
      <c r="C6" s="2">
        <f>'01.07.2026'!G8</f>
        <v>0</v>
      </c>
      <c r="D6" s="2">
        <f>'02.07.2026'!G8</f>
        <v>0</v>
      </c>
      <c r="E6" s="2">
        <f>'03.07.2026'!G8</f>
        <v>0</v>
      </c>
      <c r="F6" s="6">
        <f>'04.07.2026'!G8</f>
        <v>0</v>
      </c>
      <c r="G6" s="6"/>
      <c r="H6" s="2">
        <f>'06.07.2026'!G8</f>
        <v>0</v>
      </c>
      <c r="I6" s="2">
        <f>'07.07.2026'!G8</f>
        <v>0</v>
      </c>
      <c r="J6" s="2">
        <f>'08.07.2026'!G8</f>
        <v>0</v>
      </c>
      <c r="K6" s="2">
        <f>'09.07.2026'!G8</f>
        <v>0</v>
      </c>
      <c r="L6" s="2">
        <f>'10.07.2026'!G8</f>
        <v>0</v>
      </c>
      <c r="M6" s="6">
        <f>'11.07.2026'!G8</f>
        <v>0</v>
      </c>
      <c r="N6" s="6"/>
      <c r="O6" s="2">
        <f>'13.07.2026'!G8</f>
        <v>0</v>
      </c>
      <c r="P6" s="2">
        <f>'14.07.2026'!G8</f>
        <v>0</v>
      </c>
      <c r="Q6" s="2">
        <f>'15.07.2026'!G8</f>
        <v>0</v>
      </c>
      <c r="R6" s="2">
        <f>'16.07.2026'!G8</f>
        <v>0</v>
      </c>
      <c r="S6" s="2">
        <f>'17.07.2026'!G8</f>
        <v>0</v>
      </c>
      <c r="T6" s="6">
        <f>'18.07.2026'!G8</f>
        <v>0</v>
      </c>
      <c r="U6" s="6"/>
      <c r="V6" s="2">
        <f>'20.07.2026'!G8</f>
        <v>0</v>
      </c>
      <c r="W6" s="2">
        <f>'21.07.2026'!G8</f>
        <v>0</v>
      </c>
      <c r="X6" s="2">
        <f>'22.07.2026'!G8</f>
        <v>0</v>
      </c>
      <c r="Y6" s="2">
        <f>'23.07.2026'!G8</f>
        <v>0</v>
      </c>
      <c r="Z6" s="2">
        <f>'24.07.2026'!G8</f>
        <v>0</v>
      </c>
      <c r="AA6" s="6">
        <f>'25.07.2026'!G8</f>
        <v>0</v>
      </c>
      <c r="AB6" s="6"/>
      <c r="AC6" s="2">
        <f>'27.07.2026'!G8</f>
        <v>0</v>
      </c>
      <c r="AD6" s="2">
        <f>'28.07.2026'!G8</f>
        <v>0</v>
      </c>
      <c r="AE6" s="2">
        <f>'29.07.2026'!G8</f>
        <v>0</v>
      </c>
      <c r="AF6" s="2">
        <f>'30.07.2026'!G8</f>
        <v>0</v>
      </c>
      <c r="AG6" s="58">
        <f>'31.07.2026'!G8</f>
        <v>0</v>
      </c>
      <c r="AH6"/>
      <c r="AI6" s="22">
        <f t="shared" si="0"/>
        <v>0</v>
      </c>
    </row>
    <row r="7" spans="1:35" ht="17.25" customHeight="1" x14ac:dyDescent="0.25">
      <c r="A7" s="4">
        <v>5</v>
      </c>
      <c r="B7" s="1" t="s">
        <v>8</v>
      </c>
      <c r="C7" s="2">
        <f>'01.07.2026'!G9</f>
        <v>0</v>
      </c>
      <c r="D7" s="2">
        <f>'02.07.2026'!G9</f>
        <v>0</v>
      </c>
      <c r="E7" s="2">
        <f>'03.07.2026'!G9</f>
        <v>0</v>
      </c>
      <c r="F7" s="6">
        <f>'04.07.2026'!G9</f>
        <v>0</v>
      </c>
      <c r="G7" s="6"/>
      <c r="H7" s="2">
        <f>'06.07.2026'!G9</f>
        <v>0</v>
      </c>
      <c r="I7" s="2">
        <f>'07.07.2026'!G9</f>
        <v>0</v>
      </c>
      <c r="J7" s="2">
        <f>'08.07.2026'!G9</f>
        <v>0</v>
      </c>
      <c r="K7" s="2">
        <f>'09.07.2026'!G9</f>
        <v>0</v>
      </c>
      <c r="L7" s="2">
        <f>'10.07.2026'!G9</f>
        <v>0</v>
      </c>
      <c r="M7" s="6">
        <f>'11.07.2026'!G9</f>
        <v>0</v>
      </c>
      <c r="N7" s="6"/>
      <c r="O7" s="2">
        <f>'13.07.2026'!G9</f>
        <v>0</v>
      </c>
      <c r="P7" s="2">
        <f>'14.07.2026'!G9</f>
        <v>0</v>
      </c>
      <c r="Q7" s="2">
        <f>'15.07.2026'!G9</f>
        <v>0</v>
      </c>
      <c r="R7" s="2">
        <f>'16.07.2026'!G9</f>
        <v>0</v>
      </c>
      <c r="S7" s="2">
        <f>'17.07.2026'!G9</f>
        <v>0</v>
      </c>
      <c r="T7" s="6">
        <f>'18.07.2026'!G9</f>
        <v>0</v>
      </c>
      <c r="U7" s="6"/>
      <c r="V7" s="2">
        <f>'20.07.2026'!G9</f>
        <v>0</v>
      </c>
      <c r="W7" s="2">
        <f>'21.07.2026'!G9</f>
        <v>0</v>
      </c>
      <c r="X7" s="2">
        <f>'22.07.2026'!G9</f>
        <v>0</v>
      </c>
      <c r="Y7" s="2">
        <f>'23.07.2026'!G9</f>
        <v>0</v>
      </c>
      <c r="Z7" s="2">
        <f>'24.07.2026'!G9</f>
        <v>0</v>
      </c>
      <c r="AA7" s="6">
        <f>'25.07.2026'!G9</f>
        <v>0</v>
      </c>
      <c r="AB7" s="6"/>
      <c r="AC7" s="2">
        <f>'27.07.2026'!G9</f>
        <v>0</v>
      </c>
      <c r="AD7" s="2">
        <f>'28.07.2026'!G9</f>
        <v>0</v>
      </c>
      <c r="AE7" s="2">
        <f>'29.07.2026'!G9</f>
        <v>0</v>
      </c>
      <c r="AF7" s="2">
        <f>'30.07.2026'!G9</f>
        <v>0</v>
      </c>
      <c r="AG7" s="58">
        <f>'31.07.2026'!G9</f>
        <v>0</v>
      </c>
      <c r="AH7"/>
      <c r="AI7" s="22">
        <f t="shared" si="0"/>
        <v>0</v>
      </c>
    </row>
    <row r="8" spans="1:35" ht="17.25" customHeight="1" x14ac:dyDescent="0.25">
      <c r="A8" s="4">
        <v>6</v>
      </c>
      <c r="B8" s="1" t="s">
        <v>9</v>
      </c>
      <c r="C8" s="2">
        <f>'01.07.2026'!G10</f>
        <v>0</v>
      </c>
      <c r="D8" s="2">
        <f>'02.07.2026'!G10</f>
        <v>0</v>
      </c>
      <c r="E8" s="2">
        <f>'03.07.2026'!G10</f>
        <v>0</v>
      </c>
      <c r="F8" s="6">
        <f>'04.07.2026'!G10</f>
        <v>0</v>
      </c>
      <c r="G8" s="6"/>
      <c r="H8" s="2">
        <f>'06.07.2026'!G10</f>
        <v>0</v>
      </c>
      <c r="I8" s="2">
        <f>'07.07.2026'!G10</f>
        <v>0</v>
      </c>
      <c r="J8" s="2">
        <f>'08.07.2026'!G10</f>
        <v>0</v>
      </c>
      <c r="K8" s="2">
        <f>'09.07.2026'!G10</f>
        <v>0</v>
      </c>
      <c r="L8" s="2">
        <f>'10.07.2026'!G10</f>
        <v>0</v>
      </c>
      <c r="M8" s="6">
        <f>'11.07.2026'!G10</f>
        <v>0</v>
      </c>
      <c r="N8" s="6"/>
      <c r="O8" s="2">
        <f>'13.07.2026'!G10</f>
        <v>0</v>
      </c>
      <c r="P8" s="2">
        <f>'14.07.2026'!G10</f>
        <v>0</v>
      </c>
      <c r="Q8" s="2">
        <f>'15.07.2026'!G10</f>
        <v>0</v>
      </c>
      <c r="R8" s="2">
        <f>'16.07.2026'!G10</f>
        <v>0</v>
      </c>
      <c r="S8" s="2">
        <f>'17.07.2026'!G10</f>
        <v>0</v>
      </c>
      <c r="T8" s="6">
        <f>'18.07.2026'!G10</f>
        <v>0</v>
      </c>
      <c r="U8" s="6"/>
      <c r="V8" s="2">
        <f>'20.07.2026'!G10</f>
        <v>0</v>
      </c>
      <c r="W8" s="2">
        <f>'21.07.2026'!G10</f>
        <v>0</v>
      </c>
      <c r="X8" s="2">
        <f>'22.07.2026'!G10</f>
        <v>0</v>
      </c>
      <c r="Y8" s="2">
        <f>'23.07.2026'!G10</f>
        <v>0</v>
      </c>
      <c r="Z8" s="2">
        <f>'24.07.2026'!G10</f>
        <v>0</v>
      </c>
      <c r="AA8" s="6">
        <f>'25.07.2026'!G10</f>
        <v>0</v>
      </c>
      <c r="AB8" s="6"/>
      <c r="AC8" s="2">
        <f>'27.07.2026'!G10</f>
        <v>0</v>
      </c>
      <c r="AD8" s="2">
        <f>'28.07.2026'!G10</f>
        <v>0</v>
      </c>
      <c r="AE8" s="2">
        <f>'29.07.2026'!G10</f>
        <v>0</v>
      </c>
      <c r="AF8" s="2">
        <f>'30.07.2026'!G10</f>
        <v>0</v>
      </c>
      <c r="AG8" s="58">
        <f>'31.07.2026'!G10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'01.07.2026'!G11</f>
        <v>0</v>
      </c>
      <c r="D9" s="2">
        <f>'02.07.2026'!G11</f>
        <v>0</v>
      </c>
      <c r="E9" s="2">
        <f>'03.07.2026'!G11</f>
        <v>0</v>
      </c>
      <c r="F9" s="6">
        <f>'04.07.2026'!G11</f>
        <v>0</v>
      </c>
      <c r="G9" s="6"/>
      <c r="H9" s="2">
        <f>'06.07.2026'!G11</f>
        <v>0</v>
      </c>
      <c r="I9" s="2">
        <f>'07.07.2026'!G11</f>
        <v>0</v>
      </c>
      <c r="J9" s="2">
        <f>'08.07.2026'!G11</f>
        <v>0</v>
      </c>
      <c r="K9" s="2">
        <f>'09.07.2026'!G11</f>
        <v>0</v>
      </c>
      <c r="L9" s="2">
        <f>'10.07.2026'!G11</f>
        <v>0</v>
      </c>
      <c r="M9" s="6">
        <f>'11.07.2026'!G11</f>
        <v>0</v>
      </c>
      <c r="N9" s="6"/>
      <c r="O9" s="2">
        <f>'13.07.2026'!G11</f>
        <v>0</v>
      </c>
      <c r="P9" s="2">
        <f>'14.07.2026'!G11</f>
        <v>0</v>
      </c>
      <c r="Q9" s="2">
        <f>'15.07.2026'!G11</f>
        <v>0</v>
      </c>
      <c r="R9" s="2">
        <f>'16.07.2026'!G11</f>
        <v>0</v>
      </c>
      <c r="S9" s="2">
        <f>'17.07.2026'!G11</f>
        <v>0</v>
      </c>
      <c r="T9" s="6">
        <f>'18.07.2026'!G11</f>
        <v>0</v>
      </c>
      <c r="U9" s="6"/>
      <c r="V9" s="2">
        <f>'20.07.2026'!G11</f>
        <v>0</v>
      </c>
      <c r="W9" s="2">
        <f>'21.07.2026'!G11</f>
        <v>0</v>
      </c>
      <c r="X9" s="2">
        <f>'22.07.2026'!G11</f>
        <v>0</v>
      </c>
      <c r="Y9" s="2">
        <f>'23.07.2026'!G11</f>
        <v>0</v>
      </c>
      <c r="Z9" s="2">
        <f>'24.07.2026'!G11</f>
        <v>0</v>
      </c>
      <c r="AA9" s="6">
        <f>'25.07.2026'!G11</f>
        <v>0</v>
      </c>
      <c r="AB9" s="6"/>
      <c r="AC9" s="2">
        <f>'27.07.2026'!G11</f>
        <v>0</v>
      </c>
      <c r="AD9" s="2">
        <f>'28.07.2026'!G11</f>
        <v>0</v>
      </c>
      <c r="AE9" s="2">
        <f>'29.07.2026'!G11</f>
        <v>0</v>
      </c>
      <c r="AF9" s="2">
        <f>'30.07.2026'!G11</f>
        <v>0</v>
      </c>
      <c r="AG9" s="58">
        <f>'31.07.2026'!G11</f>
        <v>0</v>
      </c>
      <c r="AH9"/>
      <c r="AI9" s="22">
        <f t="shared" si="0"/>
        <v>0</v>
      </c>
    </row>
    <row r="10" spans="1:35" ht="17.25" customHeight="1" x14ac:dyDescent="0.25">
      <c r="A10" s="4">
        <v>8</v>
      </c>
      <c r="B10" s="1" t="s">
        <v>11</v>
      </c>
      <c r="C10" s="2">
        <f>'01.07.2026'!G12</f>
        <v>0</v>
      </c>
      <c r="D10" s="2">
        <f>'02.07.2026'!G12</f>
        <v>0</v>
      </c>
      <c r="E10" s="2">
        <f>'03.07.2026'!G12</f>
        <v>0</v>
      </c>
      <c r="F10" s="6">
        <f>'04.07.2026'!G12</f>
        <v>0</v>
      </c>
      <c r="G10" s="6"/>
      <c r="H10" s="2">
        <f>'06.07.2026'!G12</f>
        <v>0</v>
      </c>
      <c r="I10" s="2">
        <f>'07.07.2026'!G12</f>
        <v>0</v>
      </c>
      <c r="J10" s="2">
        <f>'08.07.2026'!G12</f>
        <v>0</v>
      </c>
      <c r="K10" s="2">
        <f>'09.07.2026'!G12</f>
        <v>0</v>
      </c>
      <c r="L10" s="2">
        <f>'10.07.2026'!G12</f>
        <v>0</v>
      </c>
      <c r="M10" s="6">
        <f>'11.07.2026'!G12</f>
        <v>0</v>
      </c>
      <c r="N10" s="6"/>
      <c r="O10" s="2">
        <f>'13.07.2026'!G12</f>
        <v>0</v>
      </c>
      <c r="P10" s="2">
        <f>'14.07.2026'!G12</f>
        <v>0</v>
      </c>
      <c r="Q10" s="2">
        <f>'15.07.2026'!G12</f>
        <v>0</v>
      </c>
      <c r="R10" s="2">
        <f>'16.07.2026'!G12</f>
        <v>0</v>
      </c>
      <c r="S10" s="2">
        <f>'17.07.2026'!G12</f>
        <v>0</v>
      </c>
      <c r="T10" s="6">
        <f>'18.07.2026'!G12</f>
        <v>0</v>
      </c>
      <c r="U10" s="6"/>
      <c r="V10" s="2">
        <f>'20.07.2026'!G12</f>
        <v>0</v>
      </c>
      <c r="W10" s="2">
        <f>'21.07.2026'!G12</f>
        <v>0</v>
      </c>
      <c r="X10" s="2">
        <f>'22.07.2026'!G12</f>
        <v>0</v>
      </c>
      <c r="Y10" s="2">
        <f>'23.07.2026'!G12</f>
        <v>0</v>
      </c>
      <c r="Z10" s="2">
        <f>'24.07.2026'!G12</f>
        <v>0</v>
      </c>
      <c r="AA10" s="6">
        <f>'25.07.2026'!G12</f>
        <v>0</v>
      </c>
      <c r="AB10" s="6"/>
      <c r="AC10" s="2">
        <f>'27.07.2026'!G12</f>
        <v>0</v>
      </c>
      <c r="AD10" s="2">
        <f>'28.07.2026'!G12</f>
        <v>0</v>
      </c>
      <c r="AE10" s="2">
        <f>'29.07.2026'!G12</f>
        <v>0</v>
      </c>
      <c r="AF10" s="2">
        <f>'30.07.2026'!G12</f>
        <v>0</v>
      </c>
      <c r="AG10" s="58">
        <f>'31.07.2026'!G12</f>
        <v>0</v>
      </c>
      <c r="AH10"/>
      <c r="AI10" s="22">
        <f t="shared" si="0"/>
        <v>0</v>
      </c>
    </row>
    <row r="11" spans="1:35" ht="17.25" customHeight="1" thickBot="1" x14ac:dyDescent="0.3">
      <c r="A11" s="13">
        <v>9</v>
      </c>
      <c r="B11" s="10" t="s">
        <v>12</v>
      </c>
      <c r="C11" s="2">
        <f>'01.07.2026'!G13</f>
        <v>5</v>
      </c>
      <c r="D11" s="2">
        <f>'02.07.2026'!G13</f>
        <v>0</v>
      </c>
      <c r="E11" s="2">
        <f>'03.07.2026'!G13</f>
        <v>0</v>
      </c>
      <c r="F11" s="6">
        <f>'04.07.2026'!G13</f>
        <v>0</v>
      </c>
      <c r="G11" s="6"/>
      <c r="H11" s="2">
        <f>'06.07.2026'!G13</f>
        <v>0</v>
      </c>
      <c r="I11" s="2">
        <f>'07.07.2026'!G13</f>
        <v>0</v>
      </c>
      <c r="J11" s="2">
        <f>'08.07.2026'!G13</f>
        <v>0</v>
      </c>
      <c r="K11" s="2">
        <f>'09.07.2026'!G13</f>
        <v>0</v>
      </c>
      <c r="L11" s="2">
        <f>'10.07.2026'!G13</f>
        <v>0</v>
      </c>
      <c r="M11" s="6">
        <f>'11.07.2026'!G13</f>
        <v>0</v>
      </c>
      <c r="N11" s="6"/>
      <c r="O11" s="2">
        <f>'13.07.2026'!G13</f>
        <v>0</v>
      </c>
      <c r="P11" s="2">
        <f>'14.07.2026'!G13</f>
        <v>0</v>
      </c>
      <c r="Q11" s="2">
        <f>'15.07.2026'!G13</f>
        <v>0</v>
      </c>
      <c r="R11" s="2">
        <f>'16.07.2026'!G13</f>
        <v>0</v>
      </c>
      <c r="S11" s="2">
        <f>'17.07.2026'!G13</f>
        <v>0</v>
      </c>
      <c r="T11" s="6">
        <f>'18.07.2026'!G13</f>
        <v>0</v>
      </c>
      <c r="U11" s="6"/>
      <c r="V11" s="2">
        <f>'20.07.2026'!G13</f>
        <v>0</v>
      </c>
      <c r="W11" s="2">
        <f>'21.07.2026'!G13</f>
        <v>0</v>
      </c>
      <c r="X11" s="2">
        <f>'22.07.2026'!G13</f>
        <v>0</v>
      </c>
      <c r="Y11" s="2">
        <f>'23.07.2026'!G13</f>
        <v>0</v>
      </c>
      <c r="Z11" s="2">
        <f>'24.07.2026'!G13</f>
        <v>0</v>
      </c>
      <c r="AA11" s="6">
        <f>'25.07.2026'!G13</f>
        <v>0</v>
      </c>
      <c r="AB11" s="6"/>
      <c r="AC11" s="2">
        <f>'27.07.2026'!G13</f>
        <v>0</v>
      </c>
      <c r="AD11" s="2">
        <f>'28.07.2026'!G13</f>
        <v>0</v>
      </c>
      <c r="AE11" s="2">
        <f>'29.07.2026'!G13</f>
        <v>0</v>
      </c>
      <c r="AF11" s="2">
        <f>'30.07.2026'!G13</f>
        <v>0</v>
      </c>
      <c r="AG11" s="58">
        <f>'31.07.2026'!G13</f>
        <v>0</v>
      </c>
      <c r="AH11"/>
      <c r="AI11" s="22">
        <f t="shared" si="0"/>
        <v>5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'01.07.2026'!G16</f>
        <v>0</v>
      </c>
      <c r="D14" s="2">
        <f>'02.07.2026'!G16</f>
        <v>0</v>
      </c>
      <c r="E14" s="2">
        <f>'03.07.2026'!G16</f>
        <v>0</v>
      </c>
      <c r="F14" s="6">
        <f>'04.07.2026'!G16</f>
        <v>0</v>
      </c>
      <c r="G14" s="6"/>
      <c r="H14" s="2">
        <f>'06.07.2026'!G16</f>
        <v>0</v>
      </c>
      <c r="I14" s="2">
        <f>'07.07.2026'!G16</f>
        <v>0</v>
      </c>
      <c r="J14" s="2">
        <f>'08.07.2026'!G16</f>
        <v>0</v>
      </c>
      <c r="K14" s="2">
        <f>'09.07.2026'!G16</f>
        <v>0</v>
      </c>
      <c r="L14" s="2">
        <f>'10.07.2026'!G16</f>
        <v>0</v>
      </c>
      <c r="M14" s="6">
        <f>'11.07.2026'!G16</f>
        <v>0</v>
      </c>
      <c r="N14" s="6"/>
      <c r="O14" s="2">
        <f>'13.07.2026'!G16</f>
        <v>0</v>
      </c>
      <c r="P14" s="2">
        <f>'14.07.2026'!G16</f>
        <v>0</v>
      </c>
      <c r="Q14" s="2">
        <f>'15.07.2026'!G16</f>
        <v>0</v>
      </c>
      <c r="R14" s="2">
        <f>'16.07.2026'!G16</f>
        <v>0</v>
      </c>
      <c r="S14" s="2">
        <f>'17.07.2026'!G16</f>
        <v>0</v>
      </c>
      <c r="T14" s="6">
        <f>'18.07.2026'!G16</f>
        <v>0</v>
      </c>
      <c r="U14" s="6"/>
      <c r="V14" s="2">
        <f>'20.07.2026'!G16</f>
        <v>0</v>
      </c>
      <c r="W14" s="2">
        <f>'21.07.2026'!G16</f>
        <v>0</v>
      </c>
      <c r="X14" s="2">
        <f>'22.07.2026'!G16</f>
        <v>0</v>
      </c>
      <c r="Y14" s="2">
        <f>'23.07.2026'!G16</f>
        <v>0</v>
      </c>
      <c r="Z14" s="2">
        <f>'24.07.2026'!G16</f>
        <v>0</v>
      </c>
      <c r="AA14" s="6">
        <f>'25.07.2026'!G16</f>
        <v>0</v>
      </c>
      <c r="AB14" s="6"/>
      <c r="AC14" s="2">
        <f>'27.07.2026'!G16</f>
        <v>0</v>
      </c>
      <c r="AD14" s="2">
        <f>'28.07.2026'!G16</f>
        <v>0</v>
      </c>
      <c r="AE14" s="2">
        <f>'29.07.2026'!G16</f>
        <v>0</v>
      </c>
      <c r="AF14" s="2">
        <f>'30.07.2026'!G16</f>
        <v>0</v>
      </c>
      <c r="AG14" s="58">
        <f>'31.07.2026'!G16</f>
        <v>0</v>
      </c>
      <c r="AH14"/>
      <c r="AI14" s="22">
        <f t="shared" ref="AI14:AI24" si="1">SUM(C14:AF14)</f>
        <v>0</v>
      </c>
    </row>
    <row r="15" spans="1:35" ht="17.25" customHeight="1" x14ac:dyDescent="0.25">
      <c r="A15" s="4">
        <v>2</v>
      </c>
      <c r="B15" s="1" t="s">
        <v>15</v>
      </c>
      <c r="C15" s="2">
        <f>'01.07.2026'!G17</f>
        <v>0</v>
      </c>
      <c r="D15" s="2">
        <f>'02.07.2026'!G17</f>
        <v>0</v>
      </c>
      <c r="E15" s="2">
        <f>'03.07.2026'!G17</f>
        <v>0</v>
      </c>
      <c r="F15" s="6">
        <f>'04.07.2026'!G17</f>
        <v>0</v>
      </c>
      <c r="G15" s="6"/>
      <c r="H15" s="2">
        <f>'06.07.2026'!G17</f>
        <v>0</v>
      </c>
      <c r="I15" s="2">
        <f>'07.07.2026'!G17</f>
        <v>0</v>
      </c>
      <c r="J15" s="2">
        <f>'08.07.2026'!G17</f>
        <v>0</v>
      </c>
      <c r="K15" s="2">
        <f>'09.07.2026'!G17</f>
        <v>0</v>
      </c>
      <c r="L15" s="2">
        <f>'10.07.2026'!G17</f>
        <v>0</v>
      </c>
      <c r="M15" s="6">
        <f>'11.07.2026'!G17</f>
        <v>0</v>
      </c>
      <c r="N15" s="6"/>
      <c r="O15" s="2">
        <f>'13.07.2026'!G17</f>
        <v>0</v>
      </c>
      <c r="P15" s="2">
        <f>'14.07.2026'!G17</f>
        <v>0</v>
      </c>
      <c r="Q15" s="2">
        <f>'15.07.2026'!G17</f>
        <v>0</v>
      </c>
      <c r="R15" s="2">
        <f>'16.07.2026'!G17</f>
        <v>0</v>
      </c>
      <c r="S15" s="2">
        <f>'17.07.2026'!G17</f>
        <v>0</v>
      </c>
      <c r="T15" s="6">
        <f>'18.07.2026'!G17</f>
        <v>0</v>
      </c>
      <c r="U15" s="6"/>
      <c r="V15" s="2">
        <f>'20.07.2026'!G17</f>
        <v>0</v>
      </c>
      <c r="W15" s="2">
        <f>'21.07.2026'!G17</f>
        <v>0</v>
      </c>
      <c r="X15" s="2">
        <f>'22.07.2026'!G17</f>
        <v>0</v>
      </c>
      <c r="Y15" s="2">
        <f>'23.07.2026'!G17</f>
        <v>0</v>
      </c>
      <c r="Z15" s="2">
        <f>'24.07.2026'!G17</f>
        <v>0</v>
      </c>
      <c r="AA15" s="6">
        <f>'25.07.2026'!G17</f>
        <v>0</v>
      </c>
      <c r="AB15" s="6"/>
      <c r="AC15" s="2">
        <f>'27.07.2026'!G17</f>
        <v>0</v>
      </c>
      <c r="AD15" s="2">
        <f>'28.07.2026'!G17</f>
        <v>0</v>
      </c>
      <c r="AE15" s="2">
        <f>'29.07.2026'!G17</f>
        <v>0</v>
      </c>
      <c r="AF15" s="2">
        <f>'30.07.2026'!G17</f>
        <v>0</v>
      </c>
      <c r="AG15" s="58">
        <f>'31.07.2026'!G17</f>
        <v>0</v>
      </c>
      <c r="AH15"/>
      <c r="AI15" s="22">
        <f t="shared" si="1"/>
        <v>0</v>
      </c>
    </row>
    <row r="16" spans="1:35" ht="17.25" customHeight="1" x14ac:dyDescent="0.25">
      <c r="A16" s="4">
        <v>3</v>
      </c>
      <c r="B16" s="1" t="s">
        <v>16</v>
      </c>
      <c r="C16" s="2">
        <f>'01.07.2026'!G18</f>
        <v>0</v>
      </c>
      <c r="D16" s="2">
        <f>'02.07.2026'!G18</f>
        <v>0</v>
      </c>
      <c r="E16" s="2">
        <f>'03.07.2026'!G18</f>
        <v>0</v>
      </c>
      <c r="F16" s="6">
        <f>'04.07.2026'!G18</f>
        <v>0</v>
      </c>
      <c r="G16" s="6"/>
      <c r="H16" s="2">
        <f>'06.07.2026'!G18</f>
        <v>0</v>
      </c>
      <c r="I16" s="2">
        <f>'07.07.2026'!G18</f>
        <v>0</v>
      </c>
      <c r="J16" s="2">
        <f>'08.07.2026'!G18</f>
        <v>0</v>
      </c>
      <c r="K16" s="2">
        <f>'09.07.2026'!G18</f>
        <v>0</v>
      </c>
      <c r="L16" s="2">
        <f>'10.07.2026'!G18</f>
        <v>0</v>
      </c>
      <c r="M16" s="6">
        <f>'11.07.2026'!G18</f>
        <v>0</v>
      </c>
      <c r="N16" s="6"/>
      <c r="O16" s="2">
        <f>'13.07.2026'!G18</f>
        <v>0</v>
      </c>
      <c r="P16" s="2">
        <f>'14.07.2026'!G18</f>
        <v>0</v>
      </c>
      <c r="Q16" s="2">
        <f>'15.07.2026'!G18</f>
        <v>0</v>
      </c>
      <c r="R16" s="2">
        <f>'16.07.2026'!G18</f>
        <v>0</v>
      </c>
      <c r="S16" s="2">
        <f>'17.07.2026'!G18</f>
        <v>0</v>
      </c>
      <c r="T16" s="6">
        <f>'18.07.2026'!G18</f>
        <v>0</v>
      </c>
      <c r="U16" s="6"/>
      <c r="V16" s="2">
        <f>'20.07.2026'!G18</f>
        <v>0</v>
      </c>
      <c r="W16" s="2">
        <f>'21.07.2026'!G18</f>
        <v>0</v>
      </c>
      <c r="X16" s="2">
        <f>'22.07.2026'!G18</f>
        <v>0</v>
      </c>
      <c r="Y16" s="2">
        <f>'23.07.2026'!G18</f>
        <v>0</v>
      </c>
      <c r="Z16" s="2">
        <f>'24.07.2026'!G18</f>
        <v>0</v>
      </c>
      <c r="AA16" s="6">
        <f>'25.07.2026'!G18</f>
        <v>0</v>
      </c>
      <c r="AB16" s="6"/>
      <c r="AC16" s="2">
        <f>'27.07.2026'!G18</f>
        <v>0</v>
      </c>
      <c r="AD16" s="2">
        <f>'28.07.2026'!G18</f>
        <v>0</v>
      </c>
      <c r="AE16" s="2">
        <f>'29.07.2026'!G18</f>
        <v>0</v>
      </c>
      <c r="AF16" s="2">
        <f>'30.07.2026'!G18</f>
        <v>0</v>
      </c>
      <c r="AG16" s="58">
        <f>'31.07.2026'!G18</f>
        <v>0</v>
      </c>
      <c r="AH16"/>
      <c r="AI16" s="22">
        <f t="shared" si="1"/>
        <v>0</v>
      </c>
    </row>
    <row r="17" spans="1:35" ht="17.25" customHeight="1" x14ac:dyDescent="0.25">
      <c r="A17" s="4">
        <v>4</v>
      </c>
      <c r="B17" s="1" t="s">
        <v>17</v>
      </c>
      <c r="C17" s="2">
        <f>'01.07.2026'!G19</f>
        <v>0</v>
      </c>
      <c r="D17" s="2">
        <f>'02.07.2026'!G19</f>
        <v>0</v>
      </c>
      <c r="E17" s="2">
        <f>'03.07.2026'!G19</f>
        <v>0</v>
      </c>
      <c r="F17" s="6">
        <f>'04.07.2026'!G19</f>
        <v>0</v>
      </c>
      <c r="G17" s="6"/>
      <c r="H17" s="2">
        <f>'06.07.2026'!G19</f>
        <v>0</v>
      </c>
      <c r="I17" s="2">
        <f>'07.07.2026'!G19</f>
        <v>0</v>
      </c>
      <c r="J17" s="2">
        <f>'08.07.2026'!G19</f>
        <v>0</v>
      </c>
      <c r="K17" s="2">
        <f>'09.07.2026'!G19</f>
        <v>0</v>
      </c>
      <c r="L17" s="2">
        <f>'10.07.2026'!G19</f>
        <v>0</v>
      </c>
      <c r="M17" s="6">
        <f>'11.07.2026'!G19</f>
        <v>0</v>
      </c>
      <c r="N17" s="6"/>
      <c r="O17" s="2">
        <f>'13.07.2026'!G19</f>
        <v>0</v>
      </c>
      <c r="P17" s="2">
        <f>'14.07.2026'!G19</f>
        <v>0</v>
      </c>
      <c r="Q17" s="2">
        <f>'15.07.2026'!G19</f>
        <v>0</v>
      </c>
      <c r="R17" s="2">
        <f>'16.07.2026'!G19</f>
        <v>0</v>
      </c>
      <c r="S17" s="2">
        <f>'17.07.2026'!G19</f>
        <v>0</v>
      </c>
      <c r="T17" s="6">
        <f>'18.07.2026'!G19</f>
        <v>0</v>
      </c>
      <c r="U17" s="6"/>
      <c r="V17" s="2">
        <f>'20.07.2026'!G19</f>
        <v>0</v>
      </c>
      <c r="W17" s="2">
        <f>'21.07.2026'!G19</f>
        <v>0</v>
      </c>
      <c r="X17" s="2">
        <f>'22.07.2026'!G19</f>
        <v>0</v>
      </c>
      <c r="Y17" s="2">
        <f>'23.07.2026'!G19</f>
        <v>0</v>
      </c>
      <c r="Z17" s="2">
        <f>'24.07.2026'!G19</f>
        <v>0</v>
      </c>
      <c r="AA17" s="6">
        <f>'25.07.2026'!G19</f>
        <v>0</v>
      </c>
      <c r="AB17" s="6"/>
      <c r="AC17" s="2">
        <f>'27.07.2026'!G19</f>
        <v>0</v>
      </c>
      <c r="AD17" s="2">
        <f>'28.07.2026'!G19</f>
        <v>0</v>
      </c>
      <c r="AE17" s="2">
        <f>'29.07.2026'!G19</f>
        <v>0</v>
      </c>
      <c r="AF17" s="2">
        <f>'30.07.2026'!G19</f>
        <v>0</v>
      </c>
      <c r="AG17" s="58">
        <f>'31.07.2026'!G19</f>
        <v>0</v>
      </c>
      <c r="AH17"/>
      <c r="AI17" s="22">
        <f t="shared" si="1"/>
        <v>0</v>
      </c>
    </row>
    <row r="18" spans="1:35" ht="17.25" customHeight="1" x14ac:dyDescent="0.25">
      <c r="A18" s="4">
        <v>5</v>
      </c>
      <c r="B18" s="1" t="s">
        <v>10</v>
      </c>
      <c r="C18" s="2">
        <f>'01.07.2026'!G20</f>
        <v>0</v>
      </c>
      <c r="D18" s="2">
        <f>'02.07.2026'!G20</f>
        <v>0</v>
      </c>
      <c r="E18" s="2">
        <f>'03.07.2026'!G20</f>
        <v>0</v>
      </c>
      <c r="F18" s="6">
        <f>'04.07.2026'!G20</f>
        <v>0</v>
      </c>
      <c r="G18" s="6"/>
      <c r="H18" s="2">
        <f>'06.07.2026'!G20</f>
        <v>0</v>
      </c>
      <c r="I18" s="2">
        <f>'07.07.2026'!G20</f>
        <v>0</v>
      </c>
      <c r="J18" s="2">
        <f>'08.07.2026'!G20</f>
        <v>0</v>
      </c>
      <c r="K18" s="2">
        <f>'09.07.2026'!G20</f>
        <v>0</v>
      </c>
      <c r="L18" s="2">
        <f>'10.07.2026'!G20</f>
        <v>0</v>
      </c>
      <c r="M18" s="6">
        <f>'11.07.2026'!G20</f>
        <v>0</v>
      </c>
      <c r="N18" s="6"/>
      <c r="O18" s="2">
        <f>'13.07.2026'!G20</f>
        <v>0</v>
      </c>
      <c r="P18" s="2">
        <f>'14.07.2026'!G20</f>
        <v>0</v>
      </c>
      <c r="Q18" s="2">
        <f>'15.07.2026'!G20</f>
        <v>0</v>
      </c>
      <c r="R18" s="2">
        <f>'16.07.2026'!G20</f>
        <v>0</v>
      </c>
      <c r="S18" s="2">
        <f>'17.07.2026'!G20</f>
        <v>0</v>
      </c>
      <c r="T18" s="6">
        <f>'18.07.2026'!G20</f>
        <v>0</v>
      </c>
      <c r="U18" s="6"/>
      <c r="V18" s="2">
        <f>'20.07.2026'!G20</f>
        <v>0</v>
      </c>
      <c r="W18" s="2">
        <f>'21.07.2026'!G20</f>
        <v>0</v>
      </c>
      <c r="X18" s="2">
        <f>'22.07.2026'!G20</f>
        <v>0</v>
      </c>
      <c r="Y18" s="2">
        <f>'23.07.2026'!G20</f>
        <v>0</v>
      </c>
      <c r="Z18" s="2">
        <f>'24.07.2026'!G20</f>
        <v>0</v>
      </c>
      <c r="AA18" s="6">
        <f>'25.07.2026'!G20</f>
        <v>0</v>
      </c>
      <c r="AB18" s="6"/>
      <c r="AC18" s="2">
        <f>'27.07.2026'!G20</f>
        <v>0</v>
      </c>
      <c r="AD18" s="2">
        <f>'28.07.2026'!G20</f>
        <v>0</v>
      </c>
      <c r="AE18" s="2">
        <f>'29.07.2026'!G20</f>
        <v>0</v>
      </c>
      <c r="AF18" s="2">
        <f>'30.07.2026'!G20</f>
        <v>0</v>
      </c>
      <c r="AG18" s="58">
        <f>'31.07.2026'!G20</f>
        <v>0</v>
      </c>
      <c r="AH18"/>
      <c r="AI18" s="22">
        <f t="shared" si="1"/>
        <v>0</v>
      </c>
    </row>
    <row r="19" spans="1:35" ht="17.25" customHeight="1" x14ac:dyDescent="0.25">
      <c r="A19" s="4">
        <v>6</v>
      </c>
      <c r="B19" s="1" t="s">
        <v>18</v>
      </c>
      <c r="C19" s="2">
        <f>'01.07.2026'!G21</f>
        <v>0</v>
      </c>
      <c r="D19" s="2">
        <f>'02.07.2026'!G21</f>
        <v>0</v>
      </c>
      <c r="E19" s="2">
        <f>'03.07.2026'!G21</f>
        <v>0</v>
      </c>
      <c r="F19" s="6">
        <f>'04.07.2026'!G21</f>
        <v>0</v>
      </c>
      <c r="G19" s="6"/>
      <c r="H19" s="2">
        <f>'06.07.2026'!G21</f>
        <v>0</v>
      </c>
      <c r="I19" s="2">
        <f>'07.07.2026'!G21</f>
        <v>0</v>
      </c>
      <c r="J19" s="2">
        <f>'08.07.2026'!G21</f>
        <v>0</v>
      </c>
      <c r="K19" s="2">
        <f>'09.07.2026'!G21</f>
        <v>0</v>
      </c>
      <c r="L19" s="2">
        <f>'10.07.2026'!G21</f>
        <v>0</v>
      </c>
      <c r="M19" s="6">
        <f>'11.07.2026'!G21</f>
        <v>0</v>
      </c>
      <c r="N19" s="6"/>
      <c r="O19" s="2">
        <f>'13.07.2026'!G21</f>
        <v>0</v>
      </c>
      <c r="P19" s="2">
        <f>'14.07.2026'!G21</f>
        <v>0</v>
      </c>
      <c r="Q19" s="2">
        <f>'15.07.2026'!G21</f>
        <v>0</v>
      </c>
      <c r="R19" s="2">
        <f>'16.07.2026'!G21</f>
        <v>0</v>
      </c>
      <c r="S19" s="2">
        <f>'17.07.2026'!G21</f>
        <v>0</v>
      </c>
      <c r="T19" s="6">
        <f>'18.07.2026'!G21</f>
        <v>0</v>
      </c>
      <c r="U19" s="6"/>
      <c r="V19" s="2">
        <f>'20.07.2026'!G21</f>
        <v>0</v>
      </c>
      <c r="W19" s="2">
        <f>'21.07.2026'!G21</f>
        <v>0</v>
      </c>
      <c r="X19" s="2">
        <f>'22.07.2026'!G21</f>
        <v>0</v>
      </c>
      <c r="Y19" s="2">
        <f>'23.07.2026'!G21</f>
        <v>0</v>
      </c>
      <c r="Z19" s="2">
        <f>'24.07.2026'!G21</f>
        <v>0</v>
      </c>
      <c r="AA19" s="6">
        <f>'25.07.2026'!G21</f>
        <v>0</v>
      </c>
      <c r="AB19" s="6"/>
      <c r="AC19" s="2">
        <f>'27.07.2026'!G21</f>
        <v>0</v>
      </c>
      <c r="AD19" s="2">
        <f>'28.07.2026'!G21</f>
        <v>0</v>
      </c>
      <c r="AE19" s="2">
        <f>'29.07.2026'!G21</f>
        <v>0</v>
      </c>
      <c r="AF19" s="2">
        <f>'30.07.2026'!G21</f>
        <v>0</v>
      </c>
      <c r="AG19" s="58">
        <f>'31.07.2026'!G21</f>
        <v>0</v>
      </c>
      <c r="AH19"/>
      <c r="AI19" s="22">
        <f t="shared" si="1"/>
        <v>0</v>
      </c>
    </row>
    <row r="20" spans="1:35" ht="17.25" customHeight="1" x14ac:dyDescent="0.25">
      <c r="A20" s="4">
        <v>7</v>
      </c>
      <c r="B20" s="17" t="s">
        <v>19</v>
      </c>
      <c r="C20" s="2">
        <f>'01.07.2026'!G22</f>
        <v>0</v>
      </c>
      <c r="D20" s="2">
        <f>'02.07.2026'!G22</f>
        <v>0</v>
      </c>
      <c r="E20" s="2">
        <f>'03.07.2026'!G22</f>
        <v>0</v>
      </c>
      <c r="F20" s="6">
        <f>'04.07.2026'!G22</f>
        <v>0</v>
      </c>
      <c r="G20" s="6"/>
      <c r="H20" s="2">
        <f>'06.07.2026'!G22</f>
        <v>0</v>
      </c>
      <c r="I20" s="2">
        <f>'07.07.2026'!G22</f>
        <v>0</v>
      </c>
      <c r="J20" s="2">
        <f>'08.07.2026'!G22</f>
        <v>0</v>
      </c>
      <c r="K20" s="2">
        <f>'09.07.2026'!G22</f>
        <v>0</v>
      </c>
      <c r="L20" s="2">
        <f>'10.07.2026'!G22</f>
        <v>0</v>
      </c>
      <c r="M20" s="6">
        <f>'11.07.2026'!G22</f>
        <v>0</v>
      </c>
      <c r="N20" s="6"/>
      <c r="O20" s="2">
        <f>'13.07.2026'!G22</f>
        <v>0</v>
      </c>
      <c r="P20" s="2">
        <f>'14.07.2026'!G22</f>
        <v>0</v>
      </c>
      <c r="Q20" s="2">
        <f>'15.07.2026'!G22</f>
        <v>0</v>
      </c>
      <c r="R20" s="2">
        <f>'16.07.2026'!G22</f>
        <v>0</v>
      </c>
      <c r="S20" s="2">
        <f>'17.07.2026'!G22</f>
        <v>0</v>
      </c>
      <c r="T20" s="6">
        <f>'18.07.2026'!G22</f>
        <v>0</v>
      </c>
      <c r="U20" s="6"/>
      <c r="V20" s="2">
        <f>'20.07.2026'!G22</f>
        <v>0</v>
      </c>
      <c r="W20" s="2">
        <f>'21.07.2026'!G22</f>
        <v>0</v>
      </c>
      <c r="X20" s="2">
        <f>'22.07.2026'!G22</f>
        <v>0</v>
      </c>
      <c r="Y20" s="2">
        <f>'23.07.2026'!G22</f>
        <v>0</v>
      </c>
      <c r="Z20" s="2">
        <f>'24.07.2026'!G22</f>
        <v>0</v>
      </c>
      <c r="AA20" s="6">
        <f>'25.07.2026'!G22</f>
        <v>0</v>
      </c>
      <c r="AB20" s="6"/>
      <c r="AC20" s="2">
        <f>'27.07.2026'!G22</f>
        <v>0</v>
      </c>
      <c r="AD20" s="2">
        <f>'28.07.2026'!G22</f>
        <v>0</v>
      </c>
      <c r="AE20" s="2">
        <f>'29.07.2026'!G22</f>
        <v>0</v>
      </c>
      <c r="AF20" s="2">
        <f>'30.07.2026'!G22</f>
        <v>0</v>
      </c>
      <c r="AG20" s="58">
        <f>'31.07.2026'!G22</f>
        <v>0</v>
      </c>
      <c r="AH20"/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'01.07.2026'!G23</f>
        <v>0</v>
      </c>
      <c r="D21" s="2">
        <f>'02.07.2026'!G23</f>
        <v>0</v>
      </c>
      <c r="E21" s="2">
        <f>'03.07.2026'!G23</f>
        <v>0</v>
      </c>
      <c r="F21" s="6">
        <f>'04.07.2026'!G23</f>
        <v>0</v>
      </c>
      <c r="G21" s="6"/>
      <c r="H21" s="2">
        <f>'06.07.2026'!G23</f>
        <v>0</v>
      </c>
      <c r="I21" s="2">
        <f>'07.07.2026'!G23</f>
        <v>0</v>
      </c>
      <c r="J21" s="2">
        <f>'08.07.2026'!G23</f>
        <v>0</v>
      </c>
      <c r="K21" s="2">
        <f>'09.07.2026'!G23</f>
        <v>0</v>
      </c>
      <c r="L21" s="2">
        <f>'10.07.2026'!G23</f>
        <v>0</v>
      </c>
      <c r="M21" s="6">
        <f>'11.07.2026'!G23</f>
        <v>0</v>
      </c>
      <c r="N21" s="6"/>
      <c r="O21" s="2">
        <f>'13.07.2026'!G23</f>
        <v>0</v>
      </c>
      <c r="P21" s="2">
        <f>'14.07.2026'!G23</f>
        <v>0</v>
      </c>
      <c r="Q21" s="2">
        <f>'15.07.2026'!G23</f>
        <v>0</v>
      </c>
      <c r="R21" s="2">
        <f>'16.07.2026'!G23</f>
        <v>0</v>
      </c>
      <c r="S21" s="2">
        <f>'17.07.2026'!G23</f>
        <v>0</v>
      </c>
      <c r="T21" s="6">
        <f>'18.07.2026'!G23</f>
        <v>0</v>
      </c>
      <c r="U21" s="6"/>
      <c r="V21" s="2">
        <f>'20.07.2026'!G23</f>
        <v>0</v>
      </c>
      <c r="W21" s="2">
        <f>'21.07.2026'!G23</f>
        <v>0</v>
      </c>
      <c r="X21" s="2">
        <f>'22.07.2026'!G23</f>
        <v>0</v>
      </c>
      <c r="Y21" s="2">
        <f>'23.07.2026'!G23</f>
        <v>0</v>
      </c>
      <c r="Z21" s="2">
        <f>'24.07.2026'!G23</f>
        <v>0</v>
      </c>
      <c r="AA21" s="6">
        <f>'25.07.2026'!G23</f>
        <v>0</v>
      </c>
      <c r="AB21" s="6"/>
      <c r="AC21" s="2">
        <f>'27.07.2026'!G23</f>
        <v>0</v>
      </c>
      <c r="AD21" s="2">
        <f>'28.07.2026'!G23</f>
        <v>0</v>
      </c>
      <c r="AE21" s="2">
        <f>'29.07.2026'!G23</f>
        <v>0</v>
      </c>
      <c r="AF21" s="2">
        <f>'30.07.2026'!G23</f>
        <v>0</v>
      </c>
      <c r="AG21" s="58">
        <f>'31.07.2026'!G23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'01.07.2026'!G24</f>
        <v>0</v>
      </c>
      <c r="D22" s="2">
        <f>'02.07.2026'!G24</f>
        <v>0</v>
      </c>
      <c r="E22" s="2">
        <f>'03.07.2026'!G24</f>
        <v>0</v>
      </c>
      <c r="F22" s="6">
        <f>'04.07.2026'!G24</f>
        <v>0</v>
      </c>
      <c r="G22" s="6"/>
      <c r="H22" s="2">
        <f>'06.07.2026'!G24</f>
        <v>0</v>
      </c>
      <c r="I22" s="2">
        <f>'07.07.2026'!G24</f>
        <v>0</v>
      </c>
      <c r="J22" s="2">
        <f>'08.07.2026'!G24</f>
        <v>0</v>
      </c>
      <c r="K22" s="2">
        <f>'09.07.2026'!G24</f>
        <v>0</v>
      </c>
      <c r="L22" s="2">
        <f>'10.07.2026'!G24</f>
        <v>0</v>
      </c>
      <c r="M22" s="6">
        <f>'11.07.2026'!G24</f>
        <v>0</v>
      </c>
      <c r="N22" s="6"/>
      <c r="O22" s="2">
        <f>'13.07.2026'!G24</f>
        <v>0</v>
      </c>
      <c r="P22" s="2">
        <f>'14.07.2026'!G24</f>
        <v>0</v>
      </c>
      <c r="Q22" s="2">
        <f>'15.07.2026'!G24</f>
        <v>0</v>
      </c>
      <c r="R22" s="2">
        <f>'16.07.2026'!G24</f>
        <v>0</v>
      </c>
      <c r="S22" s="2">
        <f>'17.07.2026'!G24</f>
        <v>0</v>
      </c>
      <c r="T22" s="6">
        <f>'18.07.2026'!G24</f>
        <v>0</v>
      </c>
      <c r="U22" s="6"/>
      <c r="V22" s="2">
        <f>'20.07.2026'!G24</f>
        <v>0</v>
      </c>
      <c r="W22" s="2">
        <f>'21.07.2026'!G24</f>
        <v>0</v>
      </c>
      <c r="X22" s="2">
        <f>'22.07.2026'!G24</f>
        <v>0</v>
      </c>
      <c r="Y22" s="2">
        <f>'23.07.2026'!G24</f>
        <v>0</v>
      </c>
      <c r="Z22" s="2">
        <f>'24.07.2026'!G24</f>
        <v>0</v>
      </c>
      <c r="AA22" s="6">
        <f>'25.07.2026'!G24</f>
        <v>0</v>
      </c>
      <c r="AB22" s="6"/>
      <c r="AC22" s="2">
        <f>'27.07.2026'!G24</f>
        <v>0</v>
      </c>
      <c r="AD22" s="2">
        <f>'28.07.2026'!G24</f>
        <v>0</v>
      </c>
      <c r="AE22" s="2">
        <f>'29.07.2026'!G24</f>
        <v>0</v>
      </c>
      <c r="AF22" s="2">
        <f>'30.07.2026'!G24</f>
        <v>0</v>
      </c>
      <c r="AG22" s="58">
        <f>'31.07.2026'!G24</f>
        <v>0</v>
      </c>
      <c r="AH22"/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'01.07.2026'!G25</f>
        <v>0</v>
      </c>
      <c r="D23" s="2">
        <f>'02.07.2026'!G25</f>
        <v>0</v>
      </c>
      <c r="E23" s="2">
        <f>'03.07.2026'!G25</f>
        <v>0</v>
      </c>
      <c r="F23" s="6">
        <f>'04.07.2026'!G25</f>
        <v>0</v>
      </c>
      <c r="G23" s="6"/>
      <c r="H23" s="2">
        <f>'06.07.2026'!G25</f>
        <v>0</v>
      </c>
      <c r="I23" s="2">
        <f>'07.07.2026'!G25</f>
        <v>0</v>
      </c>
      <c r="J23" s="2">
        <f>'08.07.2026'!G25</f>
        <v>0</v>
      </c>
      <c r="K23" s="2">
        <f>'09.07.2026'!G25</f>
        <v>0</v>
      </c>
      <c r="L23" s="2">
        <f>'10.07.2026'!G25</f>
        <v>0</v>
      </c>
      <c r="M23" s="6">
        <f>'11.07.2026'!G25</f>
        <v>0</v>
      </c>
      <c r="N23" s="6"/>
      <c r="O23" s="2">
        <f>'13.07.2026'!G25</f>
        <v>0</v>
      </c>
      <c r="P23" s="2">
        <f>'14.07.2026'!G25</f>
        <v>0</v>
      </c>
      <c r="Q23" s="2">
        <f>'15.07.2026'!G25</f>
        <v>0</v>
      </c>
      <c r="R23" s="2">
        <f>'16.07.2026'!G25</f>
        <v>0</v>
      </c>
      <c r="S23" s="2">
        <f>'17.07.2026'!G25</f>
        <v>0</v>
      </c>
      <c r="T23" s="6">
        <f>'18.07.2026'!G25</f>
        <v>0</v>
      </c>
      <c r="U23" s="6"/>
      <c r="V23" s="2">
        <f>'20.07.2026'!G25</f>
        <v>0</v>
      </c>
      <c r="W23" s="2">
        <f>'21.07.2026'!G25</f>
        <v>0</v>
      </c>
      <c r="X23" s="2">
        <f>'22.07.2026'!G25</f>
        <v>0</v>
      </c>
      <c r="Y23" s="2">
        <f>'23.07.2026'!G25</f>
        <v>0</v>
      </c>
      <c r="Z23" s="2">
        <f>'24.07.2026'!G25</f>
        <v>0</v>
      </c>
      <c r="AA23" s="6">
        <f>'25.07.2026'!G25</f>
        <v>0</v>
      </c>
      <c r="AB23" s="6"/>
      <c r="AC23" s="2">
        <f>'27.07.2026'!G25</f>
        <v>0</v>
      </c>
      <c r="AD23" s="2">
        <f>'28.07.2026'!G25</f>
        <v>0</v>
      </c>
      <c r="AE23" s="2">
        <f>'29.07.2026'!G25</f>
        <v>0</v>
      </c>
      <c r="AF23" s="2">
        <f>'30.07.2026'!G25</f>
        <v>0</v>
      </c>
      <c r="AG23" s="58">
        <f>'31.07.2026'!G25</f>
        <v>0</v>
      </c>
      <c r="AH23"/>
      <c r="AI23" s="22">
        <f t="shared" si="1"/>
        <v>0</v>
      </c>
    </row>
    <row r="24" spans="1:35" ht="17.25" customHeight="1" thickBot="1" x14ac:dyDescent="0.3">
      <c r="A24" s="13">
        <v>11</v>
      </c>
      <c r="B24" s="20" t="s">
        <v>23</v>
      </c>
      <c r="C24" s="2">
        <f>'01.07.2026'!G26</f>
        <v>0</v>
      </c>
      <c r="D24" s="2">
        <f>'02.07.2026'!G26</f>
        <v>0</v>
      </c>
      <c r="E24" s="2">
        <f>'03.07.2026'!G26</f>
        <v>0</v>
      </c>
      <c r="F24" s="6">
        <f>'04.07.2026'!G26</f>
        <v>0</v>
      </c>
      <c r="G24" s="6"/>
      <c r="H24" s="2">
        <f>'06.07.2026'!G26</f>
        <v>0</v>
      </c>
      <c r="I24" s="2">
        <f>'07.07.2026'!G26</f>
        <v>0</v>
      </c>
      <c r="J24" s="2">
        <f>'08.07.2026'!G26</f>
        <v>0</v>
      </c>
      <c r="K24" s="2">
        <f>'09.07.2026'!G26</f>
        <v>0</v>
      </c>
      <c r="L24" s="2">
        <f>'10.07.2026'!G26</f>
        <v>0</v>
      </c>
      <c r="M24" s="6">
        <f>'11.07.2026'!G26</f>
        <v>0</v>
      </c>
      <c r="N24" s="6"/>
      <c r="O24" s="2">
        <f>'13.07.2026'!G26</f>
        <v>0</v>
      </c>
      <c r="P24" s="2">
        <f>'14.07.2026'!G26</f>
        <v>0</v>
      </c>
      <c r="Q24" s="2">
        <f>'15.07.2026'!G26</f>
        <v>0</v>
      </c>
      <c r="R24" s="2">
        <f>'16.07.2026'!G26</f>
        <v>0</v>
      </c>
      <c r="S24" s="2">
        <f>'17.07.2026'!G26</f>
        <v>0</v>
      </c>
      <c r="T24" s="6">
        <f>'18.07.2026'!G26</f>
        <v>0</v>
      </c>
      <c r="U24" s="6"/>
      <c r="V24" s="2">
        <f>'20.07.2026'!G26</f>
        <v>0</v>
      </c>
      <c r="W24" s="2">
        <f>'21.07.2026'!G26</f>
        <v>0</v>
      </c>
      <c r="X24" s="2">
        <f>'22.07.2026'!G26</f>
        <v>0</v>
      </c>
      <c r="Y24" s="2">
        <f>'23.07.2026'!G26</f>
        <v>0</v>
      </c>
      <c r="Z24" s="2">
        <f>'24.07.2026'!G26</f>
        <v>0</v>
      </c>
      <c r="AA24" s="6">
        <f>'25.07.2026'!G26</f>
        <v>0</v>
      </c>
      <c r="AB24" s="6"/>
      <c r="AC24" s="2">
        <f>'27.07.2026'!G26</f>
        <v>0</v>
      </c>
      <c r="AD24" s="2">
        <f>'28.07.2026'!G26</f>
        <v>0</v>
      </c>
      <c r="AE24" s="2">
        <f>'29.07.2026'!G26</f>
        <v>0</v>
      </c>
      <c r="AF24" s="2">
        <f>'30.07.2026'!G26</f>
        <v>0</v>
      </c>
      <c r="AG24" s="58">
        <f>'31.07.2026'!G26</f>
        <v>0</v>
      </c>
      <c r="AH24"/>
      <c r="AI24" s="22">
        <f t="shared" si="1"/>
        <v>0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'01.07.2026'!G29</f>
        <v>0</v>
      </c>
      <c r="D27" s="2">
        <f>'02.07.2026'!G29</f>
        <v>0</v>
      </c>
      <c r="E27" s="2">
        <f>'03.07.2026'!G29</f>
        <v>0</v>
      </c>
      <c r="F27" s="6">
        <f>'04.07.2026'!G29</f>
        <v>0</v>
      </c>
      <c r="G27" s="6"/>
      <c r="H27" s="2">
        <f>'06.07.2026'!G29</f>
        <v>0</v>
      </c>
      <c r="I27" s="2">
        <f>'07.07.2026'!G29</f>
        <v>0</v>
      </c>
      <c r="J27" s="2">
        <f>'08.07.2026'!G29</f>
        <v>0</v>
      </c>
      <c r="K27" s="2">
        <f>'09.07.2026'!G29</f>
        <v>0</v>
      </c>
      <c r="L27" s="2">
        <f>'10.07.2026'!G29</f>
        <v>0</v>
      </c>
      <c r="M27" s="6">
        <f>'11.07.2026'!G29</f>
        <v>0</v>
      </c>
      <c r="N27" s="6"/>
      <c r="O27" s="2">
        <f>'13.07.2026'!G29</f>
        <v>0</v>
      </c>
      <c r="P27" s="2">
        <f>'14.07.2026'!G29</f>
        <v>0</v>
      </c>
      <c r="Q27" s="2">
        <f>'15.07.2026'!G29</f>
        <v>0</v>
      </c>
      <c r="R27" s="2">
        <f>'16.07.2026'!G29</f>
        <v>0</v>
      </c>
      <c r="S27" s="2">
        <f>'17.07.2026'!G29</f>
        <v>0</v>
      </c>
      <c r="T27" s="6">
        <f>'18.07.2026'!G29</f>
        <v>0</v>
      </c>
      <c r="U27" s="6"/>
      <c r="V27" s="2">
        <f>'20.07.2026'!G29</f>
        <v>0</v>
      </c>
      <c r="W27" s="2">
        <f>'21.07.2026'!G29</f>
        <v>0</v>
      </c>
      <c r="X27" s="2">
        <f>'22.07.2026'!G29</f>
        <v>0</v>
      </c>
      <c r="Y27" s="2">
        <f>'23.07.2026'!G29</f>
        <v>0</v>
      </c>
      <c r="Z27" s="2">
        <f>'24.07.2026'!G29</f>
        <v>0</v>
      </c>
      <c r="AA27" s="6">
        <f>'25.07.2026'!G29</f>
        <v>0</v>
      </c>
      <c r="AB27" s="6"/>
      <c r="AC27" s="2">
        <f>'27.07.2026'!G29</f>
        <v>0</v>
      </c>
      <c r="AD27" s="2">
        <f>'28.07.2026'!G29</f>
        <v>0</v>
      </c>
      <c r="AE27" s="2">
        <f>'29.07.2026'!G29</f>
        <v>0</v>
      </c>
      <c r="AF27" s="2">
        <f>'30.07.2026'!G29</f>
        <v>0</v>
      </c>
      <c r="AG27" s="58">
        <f>'31.07.2026'!G29</f>
        <v>0</v>
      </c>
      <c r="AH27"/>
      <c r="AI27" s="22">
        <f t="shared" ref="AI27:AI31" si="2">SUM(C27:AF27)</f>
        <v>0</v>
      </c>
    </row>
    <row r="28" spans="1:35" ht="17.25" customHeight="1" x14ac:dyDescent="0.25">
      <c r="A28" s="4">
        <v>2</v>
      </c>
      <c r="B28" s="18" t="s">
        <v>26</v>
      </c>
      <c r="C28" s="2">
        <f>'01.07.2026'!G30</f>
        <v>0</v>
      </c>
      <c r="D28" s="2">
        <f>'02.07.2026'!G30</f>
        <v>0</v>
      </c>
      <c r="E28" s="2">
        <f>'03.07.2026'!G30</f>
        <v>0</v>
      </c>
      <c r="F28" s="6">
        <f>'04.07.2026'!G30</f>
        <v>0</v>
      </c>
      <c r="G28" s="6"/>
      <c r="H28" s="2">
        <f>'06.07.2026'!G30</f>
        <v>0</v>
      </c>
      <c r="I28" s="2">
        <f>'07.07.2026'!G30</f>
        <v>0</v>
      </c>
      <c r="J28" s="2">
        <f>'08.07.2026'!G30</f>
        <v>0</v>
      </c>
      <c r="K28" s="2">
        <f>'09.07.2026'!G30</f>
        <v>0</v>
      </c>
      <c r="L28" s="2">
        <f>'10.07.2026'!G30</f>
        <v>0</v>
      </c>
      <c r="M28" s="6">
        <f>'11.07.2026'!G30</f>
        <v>0</v>
      </c>
      <c r="N28" s="6"/>
      <c r="O28" s="2">
        <f>'13.07.2026'!G30</f>
        <v>0</v>
      </c>
      <c r="P28" s="2">
        <f>'14.07.2026'!G30</f>
        <v>0</v>
      </c>
      <c r="Q28" s="2">
        <f>'15.07.2026'!G30</f>
        <v>0</v>
      </c>
      <c r="R28" s="2">
        <f>'16.07.2026'!G30</f>
        <v>0</v>
      </c>
      <c r="S28" s="2">
        <f>'17.07.2026'!G30</f>
        <v>0</v>
      </c>
      <c r="T28" s="6">
        <f>'18.07.2026'!G30</f>
        <v>0</v>
      </c>
      <c r="U28" s="6"/>
      <c r="V28" s="2">
        <f>'20.07.2026'!G30</f>
        <v>0</v>
      </c>
      <c r="W28" s="2">
        <f>'21.07.2026'!G30</f>
        <v>0</v>
      </c>
      <c r="X28" s="2">
        <f>'22.07.2026'!G30</f>
        <v>0</v>
      </c>
      <c r="Y28" s="2">
        <f>'23.07.2026'!G30</f>
        <v>0</v>
      </c>
      <c r="Z28" s="2">
        <f>'24.07.2026'!G30</f>
        <v>0</v>
      </c>
      <c r="AA28" s="6">
        <f>'25.07.2026'!G30</f>
        <v>0</v>
      </c>
      <c r="AB28" s="6"/>
      <c r="AC28" s="2">
        <f>'27.07.2026'!G30</f>
        <v>0</v>
      </c>
      <c r="AD28" s="2">
        <f>'28.07.2026'!G30</f>
        <v>0</v>
      </c>
      <c r="AE28" s="2">
        <f>'29.07.2026'!G30</f>
        <v>0</v>
      </c>
      <c r="AF28" s="2">
        <f>'30.07.2026'!G30</f>
        <v>0</v>
      </c>
      <c r="AG28" s="58">
        <f>'31.07.2026'!G30</f>
        <v>0</v>
      </c>
      <c r="AH28"/>
      <c r="AI28" s="22">
        <f t="shared" si="2"/>
        <v>0</v>
      </c>
    </row>
    <row r="29" spans="1:35" ht="17.25" customHeight="1" x14ac:dyDescent="0.25">
      <c r="A29" s="4">
        <v>3</v>
      </c>
      <c r="B29" s="18" t="s">
        <v>27</v>
      </c>
      <c r="C29" s="2">
        <f>'01.07.2026'!G31</f>
        <v>0</v>
      </c>
      <c r="D29" s="2">
        <f>'02.07.2026'!G31</f>
        <v>0</v>
      </c>
      <c r="E29" s="2">
        <f>'03.07.2026'!G31</f>
        <v>0</v>
      </c>
      <c r="F29" s="6">
        <f>'04.07.2026'!G31</f>
        <v>0</v>
      </c>
      <c r="G29" s="6"/>
      <c r="H29" s="2">
        <f>'06.07.2026'!G31</f>
        <v>0</v>
      </c>
      <c r="I29" s="2">
        <f>'07.07.2026'!G31</f>
        <v>0</v>
      </c>
      <c r="J29" s="2">
        <f>'08.07.2026'!G31</f>
        <v>0</v>
      </c>
      <c r="K29" s="2">
        <f>'09.07.2026'!G31</f>
        <v>0</v>
      </c>
      <c r="L29" s="2">
        <f>'10.07.2026'!G31</f>
        <v>0</v>
      </c>
      <c r="M29" s="6">
        <f>'11.07.2026'!G31</f>
        <v>0</v>
      </c>
      <c r="N29" s="6"/>
      <c r="O29" s="2">
        <f>'13.07.2026'!G31</f>
        <v>0</v>
      </c>
      <c r="P29" s="2">
        <f>'14.07.2026'!G31</f>
        <v>0</v>
      </c>
      <c r="Q29" s="2">
        <f>'15.07.2026'!G31</f>
        <v>0</v>
      </c>
      <c r="R29" s="2">
        <f>'16.07.2026'!G31</f>
        <v>0</v>
      </c>
      <c r="S29" s="2">
        <f>'17.07.2026'!G31</f>
        <v>0</v>
      </c>
      <c r="T29" s="6">
        <f>'18.07.2026'!G31</f>
        <v>0</v>
      </c>
      <c r="U29" s="6"/>
      <c r="V29" s="2">
        <f>'20.07.2026'!G31</f>
        <v>0</v>
      </c>
      <c r="W29" s="2">
        <f>'21.07.2026'!G31</f>
        <v>0</v>
      </c>
      <c r="X29" s="2">
        <f>'22.07.2026'!G31</f>
        <v>0</v>
      </c>
      <c r="Y29" s="2">
        <f>'23.07.2026'!G31</f>
        <v>0</v>
      </c>
      <c r="Z29" s="2">
        <f>'24.07.2026'!G31</f>
        <v>0</v>
      </c>
      <c r="AA29" s="6">
        <f>'25.07.2026'!G31</f>
        <v>0</v>
      </c>
      <c r="AB29" s="6"/>
      <c r="AC29" s="2">
        <f>'27.07.2026'!G31</f>
        <v>0</v>
      </c>
      <c r="AD29" s="2">
        <f>'28.07.2026'!G31</f>
        <v>0</v>
      </c>
      <c r="AE29" s="2">
        <f>'29.07.2026'!G31</f>
        <v>0</v>
      </c>
      <c r="AF29" s="2">
        <f>'30.07.2026'!G31</f>
        <v>0</v>
      </c>
      <c r="AG29" s="58">
        <f>'31.07.2026'!G31</f>
        <v>0</v>
      </c>
      <c r="AH29"/>
      <c r="AI29" s="22">
        <f t="shared" si="2"/>
        <v>0</v>
      </c>
    </row>
    <row r="30" spans="1:35" ht="17.25" customHeight="1" x14ac:dyDescent="0.25">
      <c r="A30" s="4">
        <v>4</v>
      </c>
      <c r="B30" s="18" t="s">
        <v>28</v>
      </c>
      <c r="C30" s="2">
        <f>'01.07.2026'!G32</f>
        <v>0</v>
      </c>
      <c r="D30" s="2">
        <f>'02.07.2026'!G32</f>
        <v>0</v>
      </c>
      <c r="E30" s="2">
        <f>'03.07.2026'!G32</f>
        <v>0</v>
      </c>
      <c r="F30" s="6">
        <f>'04.07.2026'!G32</f>
        <v>0</v>
      </c>
      <c r="G30" s="6"/>
      <c r="H30" s="2">
        <f>'06.07.2026'!G32</f>
        <v>0</v>
      </c>
      <c r="I30" s="2">
        <f>'07.07.2026'!G32</f>
        <v>0</v>
      </c>
      <c r="J30" s="2">
        <f>'08.07.2026'!G32</f>
        <v>0</v>
      </c>
      <c r="K30" s="2">
        <f>'09.07.2026'!G32</f>
        <v>0</v>
      </c>
      <c r="L30" s="2">
        <f>'10.07.2026'!G32</f>
        <v>0</v>
      </c>
      <c r="M30" s="6">
        <f>'11.07.2026'!G32</f>
        <v>0</v>
      </c>
      <c r="N30" s="6"/>
      <c r="O30" s="2">
        <f>'13.07.2026'!G32</f>
        <v>0</v>
      </c>
      <c r="P30" s="2">
        <f>'14.07.2026'!G32</f>
        <v>0</v>
      </c>
      <c r="Q30" s="2">
        <f>'15.07.2026'!G32</f>
        <v>0</v>
      </c>
      <c r="R30" s="2">
        <f>'16.07.2026'!G32</f>
        <v>0</v>
      </c>
      <c r="S30" s="2">
        <f>'17.07.2026'!G32</f>
        <v>0</v>
      </c>
      <c r="T30" s="6">
        <f>'18.07.2026'!G32</f>
        <v>0</v>
      </c>
      <c r="U30" s="6"/>
      <c r="V30" s="2">
        <f>'20.07.2026'!G32</f>
        <v>0</v>
      </c>
      <c r="W30" s="2">
        <f>'21.07.2026'!G32</f>
        <v>0</v>
      </c>
      <c r="X30" s="2">
        <f>'22.07.2026'!G32</f>
        <v>0</v>
      </c>
      <c r="Y30" s="2">
        <f>'23.07.2026'!G32</f>
        <v>0</v>
      </c>
      <c r="Z30" s="2">
        <f>'24.07.2026'!G32</f>
        <v>0</v>
      </c>
      <c r="AA30" s="6">
        <f>'25.07.2026'!G32</f>
        <v>0</v>
      </c>
      <c r="AB30" s="6"/>
      <c r="AC30" s="2">
        <f>'27.07.2026'!G32</f>
        <v>0</v>
      </c>
      <c r="AD30" s="2">
        <f>'28.07.2026'!G32</f>
        <v>0</v>
      </c>
      <c r="AE30" s="2">
        <f>'29.07.2026'!G32</f>
        <v>0</v>
      </c>
      <c r="AF30" s="2">
        <f>'30.07.2026'!G32</f>
        <v>0</v>
      </c>
      <c r="AG30" s="58">
        <f>'31.07.2026'!G32</f>
        <v>0</v>
      </c>
      <c r="AH30"/>
      <c r="AI30" s="22">
        <f t="shared" si="2"/>
        <v>0</v>
      </c>
    </row>
    <row r="31" spans="1:35" ht="17.25" customHeight="1" thickBot="1" x14ac:dyDescent="0.3">
      <c r="A31" s="13">
        <v>5</v>
      </c>
      <c r="B31" s="19" t="s">
        <v>29</v>
      </c>
      <c r="C31" s="2">
        <f>'01.07.2026'!G33</f>
        <v>6</v>
      </c>
      <c r="D31" s="2">
        <f>'02.07.2026'!G33</f>
        <v>0</v>
      </c>
      <c r="E31" s="2">
        <f>'03.07.2026'!G33</f>
        <v>0</v>
      </c>
      <c r="F31" s="6">
        <f>'04.07.2026'!G33</f>
        <v>0</v>
      </c>
      <c r="G31" s="6"/>
      <c r="H31" s="2">
        <f>'06.07.2026'!G33</f>
        <v>0</v>
      </c>
      <c r="I31" s="2">
        <f>'07.07.2026'!G33</f>
        <v>0</v>
      </c>
      <c r="J31" s="2">
        <f>'08.07.2026'!G33</f>
        <v>0</v>
      </c>
      <c r="K31" s="2">
        <f>'09.07.2026'!G33</f>
        <v>0</v>
      </c>
      <c r="L31" s="2">
        <f>'10.07.2026'!G33</f>
        <v>0</v>
      </c>
      <c r="M31" s="6">
        <f>'11.07.2026'!G33</f>
        <v>0</v>
      </c>
      <c r="N31" s="6"/>
      <c r="O31" s="2">
        <f>'13.07.2026'!G33</f>
        <v>0</v>
      </c>
      <c r="P31" s="2">
        <f>'14.07.2026'!G33</f>
        <v>0</v>
      </c>
      <c r="Q31" s="2">
        <f>'15.07.2026'!G33</f>
        <v>0</v>
      </c>
      <c r="R31" s="2">
        <f>'16.07.2026'!G33</f>
        <v>0</v>
      </c>
      <c r="S31" s="2">
        <f>'17.07.2026'!G33</f>
        <v>0</v>
      </c>
      <c r="T31" s="6">
        <f>'18.07.2026'!G33</f>
        <v>0</v>
      </c>
      <c r="U31" s="6"/>
      <c r="V31" s="2">
        <f>'20.07.2026'!G33</f>
        <v>0</v>
      </c>
      <c r="W31" s="2">
        <f>'21.07.2026'!G33</f>
        <v>0</v>
      </c>
      <c r="X31" s="2">
        <f>'22.07.2026'!G33</f>
        <v>0</v>
      </c>
      <c r="Y31" s="2">
        <f>'23.07.2026'!G33</f>
        <v>0</v>
      </c>
      <c r="Z31" s="2">
        <f>'24.07.2026'!G33</f>
        <v>0</v>
      </c>
      <c r="AA31" s="6">
        <f>'25.07.2026'!G33</f>
        <v>0</v>
      </c>
      <c r="AB31" s="6"/>
      <c r="AC31" s="2">
        <f>'27.07.2026'!G33</f>
        <v>0</v>
      </c>
      <c r="AD31" s="2">
        <f>'28.07.2026'!G33</f>
        <v>0</v>
      </c>
      <c r="AE31" s="2">
        <f>'29.07.2026'!G33</f>
        <v>0</v>
      </c>
      <c r="AF31" s="2">
        <f>'30.07.2026'!G33</f>
        <v>0</v>
      </c>
      <c r="AG31" s="58">
        <f>'31.07.2026'!G33</f>
        <v>0</v>
      </c>
      <c r="AH31"/>
      <c r="AI31" s="22">
        <f t="shared" si="2"/>
        <v>6</v>
      </c>
    </row>
  </sheetData>
  <mergeCells count="3">
    <mergeCell ref="A1:AF1"/>
    <mergeCell ref="AI25:AI26"/>
    <mergeCell ref="AI12:AI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38A-CE8C-4FA4-811E-494189A4A4BE}">
  <sheetPr codeName="Sheet33"/>
  <dimension ref="A1:AI31"/>
  <sheetViews>
    <sheetView workbookViewId="0">
      <selection activeCell="AI25" sqref="AI25:AI26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'01.07.2026'!H5</f>
        <v>0</v>
      </c>
      <c r="D3" s="2">
        <f>'02.07.2026'!H5</f>
        <v>0</v>
      </c>
      <c r="E3" s="2">
        <f>'03.07.2026'!H5</f>
        <v>0</v>
      </c>
      <c r="F3" s="6">
        <f>'04.07.2026'!H5</f>
        <v>0</v>
      </c>
      <c r="G3" s="6"/>
      <c r="H3" s="2">
        <f>'06.07.2026'!H5</f>
        <v>2</v>
      </c>
      <c r="I3" s="2">
        <f>'07.07.2026'!H5</f>
        <v>2</v>
      </c>
      <c r="J3" s="2">
        <f>'08.07.2026'!H5</f>
        <v>1</v>
      </c>
      <c r="K3" s="2">
        <f>'09.07.2026'!H5</f>
        <v>9</v>
      </c>
      <c r="L3" s="2">
        <f>'10.07.2026'!H5</f>
        <v>9</v>
      </c>
      <c r="M3" s="6">
        <f>'11.07.2026'!H5</f>
        <v>0</v>
      </c>
      <c r="N3" s="6"/>
      <c r="O3" s="2">
        <f>'13.07.2026'!H5</f>
        <v>10</v>
      </c>
      <c r="P3" s="2">
        <f>'14.07.2026'!H5</f>
        <v>14</v>
      </c>
      <c r="Q3" s="2">
        <f>'15.07.2026'!H5</f>
        <v>15</v>
      </c>
      <c r="R3" s="2">
        <f>'16.07.2026'!H5</f>
        <v>12</v>
      </c>
      <c r="S3" s="2">
        <f>'17.07.2026'!H5</f>
        <v>4</v>
      </c>
      <c r="T3" s="6">
        <f>'18.07.2026'!H5</f>
        <v>0</v>
      </c>
      <c r="U3" s="6"/>
      <c r="V3" s="2">
        <f>'20.07.2026'!H5</f>
        <v>8</v>
      </c>
      <c r="W3" s="2">
        <f>'21.07.2026'!H5</f>
        <v>0</v>
      </c>
      <c r="X3" s="2">
        <f>'22.07.2026'!H5</f>
        <v>0</v>
      </c>
      <c r="Y3" s="2">
        <f>'23.07.2026'!H5</f>
        <v>0</v>
      </c>
      <c r="Z3" s="2">
        <f>'24.07.2026'!H5</f>
        <v>1</v>
      </c>
      <c r="AA3" s="6">
        <f>'25.07.2026'!H5</f>
        <v>0</v>
      </c>
      <c r="AB3" s="6"/>
      <c r="AC3" s="2">
        <f>'27.07.2026'!H5</f>
        <v>0</v>
      </c>
      <c r="AD3" s="2">
        <f>'28.07.2026'!H5</f>
        <v>0</v>
      </c>
      <c r="AE3" s="2">
        <f>'29.07.2026'!H5</f>
        <v>0</v>
      </c>
      <c r="AF3" s="2">
        <f>'30.07.2026'!H5</f>
        <v>0</v>
      </c>
      <c r="AG3" s="58">
        <f>'31.07.2026'!H5</f>
        <v>4</v>
      </c>
      <c r="AH3"/>
      <c r="AI3" s="22">
        <f t="shared" ref="AI3:AI11" si="0">SUM(C3:AF3)</f>
        <v>87</v>
      </c>
    </row>
    <row r="4" spans="1:35" ht="17.25" customHeight="1" x14ac:dyDescent="0.25">
      <c r="A4" s="4">
        <v>2</v>
      </c>
      <c r="B4" s="1" t="s">
        <v>5</v>
      </c>
      <c r="C4" s="2">
        <f>'01.07.2026'!H6</f>
        <v>0</v>
      </c>
      <c r="D4" s="2">
        <f>'02.07.2026'!H6</f>
        <v>0</v>
      </c>
      <c r="E4" s="2">
        <f>'03.07.2026'!H6</f>
        <v>0</v>
      </c>
      <c r="F4" s="6">
        <f>'04.07.2026'!H6</f>
        <v>0</v>
      </c>
      <c r="G4" s="6"/>
      <c r="H4" s="2">
        <f>'06.07.2026'!H6</f>
        <v>0</v>
      </c>
      <c r="I4" s="2">
        <f>'07.07.2026'!H6</f>
        <v>0</v>
      </c>
      <c r="J4" s="2">
        <f>'08.07.2026'!H6</f>
        <v>1</v>
      </c>
      <c r="K4" s="2">
        <f>'09.07.2026'!H6</f>
        <v>0</v>
      </c>
      <c r="L4" s="2">
        <f>'10.07.2026'!H6</f>
        <v>0</v>
      </c>
      <c r="M4" s="6">
        <f>'11.07.2026'!H6</f>
        <v>0</v>
      </c>
      <c r="N4" s="6"/>
      <c r="O4" s="2">
        <f>'13.07.2026'!H6</f>
        <v>0</v>
      </c>
      <c r="P4" s="2">
        <f>'14.07.2026'!H6</f>
        <v>0</v>
      </c>
      <c r="Q4" s="2">
        <f>'15.07.2026'!H6</f>
        <v>0</v>
      </c>
      <c r="R4" s="2">
        <f>'16.07.2026'!H6</f>
        <v>0</v>
      </c>
      <c r="S4" s="2">
        <f>'17.07.2026'!H6</f>
        <v>0</v>
      </c>
      <c r="T4" s="6">
        <f>'18.07.2026'!H6</f>
        <v>0</v>
      </c>
      <c r="U4" s="6"/>
      <c r="V4" s="2">
        <f>'20.07.2026'!H6</f>
        <v>0</v>
      </c>
      <c r="W4" s="2">
        <f>'21.07.2026'!H6</f>
        <v>0</v>
      </c>
      <c r="X4" s="2">
        <f>'22.07.2026'!H6</f>
        <v>0</v>
      </c>
      <c r="Y4" s="2">
        <f>'23.07.2026'!H6</f>
        <v>0</v>
      </c>
      <c r="Z4" s="2">
        <f>'24.07.2026'!H6</f>
        <v>0</v>
      </c>
      <c r="AA4" s="6">
        <f>'25.07.2026'!H6</f>
        <v>0</v>
      </c>
      <c r="AB4" s="6"/>
      <c r="AC4" s="2">
        <f>'27.07.2026'!H6</f>
        <v>0</v>
      </c>
      <c r="AD4" s="2">
        <f>'28.07.2026'!H6</f>
        <v>0</v>
      </c>
      <c r="AE4" s="2">
        <f>'29.07.2026'!H6</f>
        <v>0</v>
      </c>
      <c r="AF4" s="2">
        <f>'30.07.2026'!H6</f>
        <v>0</v>
      </c>
      <c r="AG4" s="58">
        <f>'31.07.2026'!H6</f>
        <v>0</v>
      </c>
      <c r="AH4"/>
      <c r="AI4" s="22">
        <f t="shared" si="0"/>
        <v>1</v>
      </c>
    </row>
    <row r="5" spans="1:35" ht="17.25" customHeight="1" x14ac:dyDescent="0.25">
      <c r="A5" s="4">
        <v>3</v>
      </c>
      <c r="B5" s="1" t="s">
        <v>6</v>
      </c>
      <c r="C5" s="2">
        <f>'01.07.2026'!H7</f>
        <v>0</v>
      </c>
      <c r="D5" s="2">
        <f>'02.07.2026'!H7</f>
        <v>0</v>
      </c>
      <c r="E5" s="2">
        <f>'03.07.2026'!H7</f>
        <v>0</v>
      </c>
      <c r="F5" s="6">
        <f>'04.07.2026'!H7</f>
        <v>0</v>
      </c>
      <c r="G5" s="6"/>
      <c r="H5" s="2">
        <f>'06.07.2026'!H7</f>
        <v>0</v>
      </c>
      <c r="I5" s="2">
        <f>'07.07.2026'!H7</f>
        <v>0</v>
      </c>
      <c r="J5" s="2">
        <f>'08.07.2026'!H7</f>
        <v>0</v>
      </c>
      <c r="K5" s="2">
        <f>'09.07.2026'!H7</f>
        <v>0</v>
      </c>
      <c r="L5" s="2">
        <f>'10.07.2026'!H7</f>
        <v>0</v>
      </c>
      <c r="M5" s="6">
        <f>'11.07.2026'!H7</f>
        <v>0</v>
      </c>
      <c r="N5" s="6"/>
      <c r="O5" s="2">
        <f>'13.07.2026'!H7</f>
        <v>0</v>
      </c>
      <c r="P5" s="2">
        <f>'14.07.2026'!H7</f>
        <v>0</v>
      </c>
      <c r="Q5" s="2">
        <f>'15.07.2026'!H7</f>
        <v>0</v>
      </c>
      <c r="R5" s="2">
        <f>'16.07.2026'!H7</f>
        <v>0</v>
      </c>
      <c r="S5" s="2">
        <f>'17.07.2026'!H7</f>
        <v>0</v>
      </c>
      <c r="T5" s="6">
        <f>'18.07.2026'!H7</f>
        <v>0</v>
      </c>
      <c r="U5" s="6"/>
      <c r="V5" s="2">
        <f>'20.07.2026'!H7</f>
        <v>0</v>
      </c>
      <c r="W5" s="2">
        <f>'21.07.2026'!H7</f>
        <v>0</v>
      </c>
      <c r="X5" s="2">
        <f>'22.07.2026'!H7</f>
        <v>0</v>
      </c>
      <c r="Y5" s="2">
        <f>'23.07.2026'!H7</f>
        <v>0</v>
      </c>
      <c r="Z5" s="2">
        <f>'24.07.2026'!H7</f>
        <v>0</v>
      </c>
      <c r="AA5" s="6">
        <f>'25.07.2026'!H7</f>
        <v>0</v>
      </c>
      <c r="AB5" s="6"/>
      <c r="AC5" s="2">
        <f>'27.07.2026'!H7</f>
        <v>0</v>
      </c>
      <c r="AD5" s="2">
        <f>'28.07.2026'!H7</f>
        <v>0</v>
      </c>
      <c r="AE5" s="2">
        <f>'29.07.2026'!H7</f>
        <v>0</v>
      </c>
      <c r="AF5" s="2">
        <f>'30.07.2026'!H7</f>
        <v>0</v>
      </c>
      <c r="AG5" s="58">
        <f>'31.07.2026'!H7</f>
        <v>0</v>
      </c>
      <c r="AH5"/>
      <c r="AI5" s="22">
        <f t="shared" si="0"/>
        <v>0</v>
      </c>
    </row>
    <row r="6" spans="1:35" ht="17.25" customHeight="1" x14ac:dyDescent="0.25">
      <c r="A6" s="4">
        <v>4</v>
      </c>
      <c r="B6" s="1" t="s">
        <v>7</v>
      </c>
      <c r="C6" s="2">
        <f>'01.07.2026'!H8</f>
        <v>0</v>
      </c>
      <c r="D6" s="2">
        <f>'02.07.2026'!H8</f>
        <v>0</v>
      </c>
      <c r="E6" s="2">
        <f>'03.07.2026'!H8</f>
        <v>7</v>
      </c>
      <c r="F6" s="6">
        <f>'04.07.2026'!H8</f>
        <v>0</v>
      </c>
      <c r="G6" s="6"/>
      <c r="H6" s="2">
        <f>'06.07.2026'!H8</f>
        <v>1</v>
      </c>
      <c r="I6" s="2">
        <f>'07.07.2026'!H8</f>
        <v>0</v>
      </c>
      <c r="J6" s="2">
        <f>'08.07.2026'!H8</f>
        <v>0</v>
      </c>
      <c r="K6" s="2">
        <f>'09.07.2026'!H8</f>
        <v>0</v>
      </c>
      <c r="L6" s="2">
        <f>'10.07.2026'!H8</f>
        <v>0</v>
      </c>
      <c r="M6" s="6">
        <f>'11.07.2026'!H8</f>
        <v>0</v>
      </c>
      <c r="N6" s="6"/>
      <c r="O6" s="2">
        <f>'13.07.2026'!H8</f>
        <v>0</v>
      </c>
      <c r="P6" s="2">
        <f>'14.07.2026'!H8</f>
        <v>0</v>
      </c>
      <c r="Q6" s="2">
        <f>'15.07.2026'!H8</f>
        <v>0</v>
      </c>
      <c r="R6" s="2">
        <f>'16.07.2026'!H8</f>
        <v>0</v>
      </c>
      <c r="S6" s="2">
        <f>'17.07.2026'!H8</f>
        <v>0</v>
      </c>
      <c r="T6" s="6">
        <f>'18.07.2026'!H8</f>
        <v>0</v>
      </c>
      <c r="U6" s="6"/>
      <c r="V6" s="2">
        <f>'20.07.2026'!H8</f>
        <v>0</v>
      </c>
      <c r="W6" s="2">
        <f>'21.07.2026'!H8</f>
        <v>0</v>
      </c>
      <c r="X6" s="2">
        <f>'22.07.2026'!H8</f>
        <v>0</v>
      </c>
      <c r="Y6" s="2">
        <f>'23.07.2026'!H8</f>
        <v>0</v>
      </c>
      <c r="Z6" s="2">
        <f>'24.07.2026'!H8</f>
        <v>0</v>
      </c>
      <c r="AA6" s="6">
        <f>'25.07.2026'!H8</f>
        <v>0</v>
      </c>
      <c r="AB6" s="6"/>
      <c r="AC6" s="2">
        <f>'27.07.2026'!H8</f>
        <v>0</v>
      </c>
      <c r="AD6" s="2">
        <f>'28.07.2026'!H8</f>
        <v>0</v>
      </c>
      <c r="AE6" s="2">
        <f>'29.07.2026'!H8</f>
        <v>0</v>
      </c>
      <c r="AF6" s="2">
        <f>'30.07.2026'!H8</f>
        <v>0</v>
      </c>
      <c r="AG6" s="58">
        <f>'31.07.2026'!H8</f>
        <v>0</v>
      </c>
      <c r="AH6"/>
      <c r="AI6" s="22">
        <f t="shared" si="0"/>
        <v>8</v>
      </c>
    </row>
    <row r="7" spans="1:35" ht="17.25" customHeight="1" x14ac:dyDescent="0.25">
      <c r="A7" s="4">
        <v>5</v>
      </c>
      <c r="B7" s="1" t="s">
        <v>8</v>
      </c>
      <c r="C7" s="2">
        <f>'01.07.2026'!H9</f>
        <v>0</v>
      </c>
      <c r="D7" s="2">
        <f>'02.07.2026'!H9</f>
        <v>0</v>
      </c>
      <c r="E7" s="2">
        <f>'03.07.2026'!H9</f>
        <v>0</v>
      </c>
      <c r="F7" s="6">
        <f>'04.07.2026'!H9</f>
        <v>0</v>
      </c>
      <c r="G7" s="6"/>
      <c r="H7" s="2">
        <f>'06.07.2026'!H9</f>
        <v>0</v>
      </c>
      <c r="I7" s="2">
        <f>'07.07.2026'!H9</f>
        <v>0</v>
      </c>
      <c r="J7" s="2">
        <f>'08.07.2026'!H9</f>
        <v>0</v>
      </c>
      <c r="K7" s="2">
        <f>'09.07.2026'!H9</f>
        <v>0</v>
      </c>
      <c r="L7" s="2">
        <f>'10.07.2026'!H9</f>
        <v>0</v>
      </c>
      <c r="M7" s="6">
        <f>'11.07.2026'!H9</f>
        <v>0</v>
      </c>
      <c r="N7" s="6"/>
      <c r="O7" s="2">
        <f>'13.07.2026'!H9</f>
        <v>0</v>
      </c>
      <c r="P7" s="2">
        <f>'14.07.2026'!H9</f>
        <v>0</v>
      </c>
      <c r="Q7" s="2">
        <f>'15.07.2026'!H9</f>
        <v>0</v>
      </c>
      <c r="R7" s="2">
        <f>'16.07.2026'!H9</f>
        <v>0</v>
      </c>
      <c r="S7" s="2">
        <f>'17.07.2026'!H9</f>
        <v>0</v>
      </c>
      <c r="T7" s="6">
        <f>'18.07.2026'!H9</f>
        <v>0</v>
      </c>
      <c r="U7" s="6"/>
      <c r="V7" s="2">
        <f>'20.07.2026'!H9</f>
        <v>0</v>
      </c>
      <c r="W7" s="2">
        <f>'21.07.2026'!H9</f>
        <v>1</v>
      </c>
      <c r="X7" s="2">
        <f>'22.07.2026'!H9</f>
        <v>1</v>
      </c>
      <c r="Y7" s="2">
        <f>'23.07.2026'!H9</f>
        <v>0</v>
      </c>
      <c r="Z7" s="2">
        <f>'24.07.2026'!H9</f>
        <v>0</v>
      </c>
      <c r="AA7" s="6">
        <f>'25.07.2026'!H9</f>
        <v>0</v>
      </c>
      <c r="AB7" s="6"/>
      <c r="AC7" s="2">
        <f>'27.07.2026'!H9</f>
        <v>0</v>
      </c>
      <c r="AD7" s="2">
        <f>'28.07.2026'!H9</f>
        <v>0</v>
      </c>
      <c r="AE7" s="2">
        <f>'29.07.2026'!H9</f>
        <v>1</v>
      </c>
      <c r="AF7" s="2">
        <f>'30.07.2026'!H9</f>
        <v>0</v>
      </c>
      <c r="AG7" s="58">
        <f>'31.07.2026'!H9</f>
        <v>0</v>
      </c>
      <c r="AH7"/>
      <c r="AI7" s="22">
        <f t="shared" si="0"/>
        <v>3</v>
      </c>
    </row>
    <row r="8" spans="1:35" ht="17.25" customHeight="1" x14ac:dyDescent="0.25">
      <c r="A8" s="4">
        <v>6</v>
      </c>
      <c r="B8" s="1" t="s">
        <v>9</v>
      </c>
      <c r="C8" s="2">
        <f>'01.07.2026'!H10</f>
        <v>0</v>
      </c>
      <c r="D8" s="2">
        <f>'02.07.2026'!H10</f>
        <v>0</v>
      </c>
      <c r="E8" s="2">
        <f>'03.07.2026'!H10</f>
        <v>0</v>
      </c>
      <c r="F8" s="6">
        <f>'04.07.2026'!H10</f>
        <v>0</v>
      </c>
      <c r="G8" s="6"/>
      <c r="H8" s="2">
        <f>'06.07.2026'!H10</f>
        <v>0</v>
      </c>
      <c r="I8" s="2">
        <f>'07.07.2026'!H10</f>
        <v>0</v>
      </c>
      <c r="J8" s="2">
        <f>'08.07.2026'!H10</f>
        <v>0</v>
      </c>
      <c r="K8" s="2">
        <f>'09.07.2026'!H10</f>
        <v>0</v>
      </c>
      <c r="L8" s="2">
        <f>'10.07.2026'!H10</f>
        <v>0</v>
      </c>
      <c r="M8" s="6">
        <f>'11.07.2026'!H10</f>
        <v>0</v>
      </c>
      <c r="N8" s="6"/>
      <c r="O8" s="2">
        <f>'13.07.2026'!H10</f>
        <v>0</v>
      </c>
      <c r="P8" s="2">
        <f>'14.07.2026'!H10</f>
        <v>0</v>
      </c>
      <c r="Q8" s="2">
        <f>'15.07.2026'!H10</f>
        <v>0</v>
      </c>
      <c r="R8" s="2">
        <f>'16.07.2026'!H10</f>
        <v>0</v>
      </c>
      <c r="S8" s="2">
        <f>'17.07.2026'!H10</f>
        <v>0</v>
      </c>
      <c r="T8" s="6">
        <f>'18.07.2026'!H10</f>
        <v>0</v>
      </c>
      <c r="U8" s="6"/>
      <c r="V8" s="2">
        <f>'20.07.2026'!H10</f>
        <v>0</v>
      </c>
      <c r="W8" s="2">
        <f>'21.07.2026'!H10</f>
        <v>0</v>
      </c>
      <c r="X8" s="2">
        <f>'22.07.2026'!H10</f>
        <v>0</v>
      </c>
      <c r="Y8" s="2">
        <f>'23.07.2026'!H10</f>
        <v>0</v>
      </c>
      <c r="Z8" s="2">
        <f>'24.07.2026'!H10</f>
        <v>0</v>
      </c>
      <c r="AA8" s="6">
        <f>'25.07.2026'!H10</f>
        <v>0</v>
      </c>
      <c r="AB8" s="6"/>
      <c r="AC8" s="2">
        <f>'27.07.2026'!H10</f>
        <v>0</v>
      </c>
      <c r="AD8" s="2">
        <f>'28.07.2026'!H10</f>
        <v>0</v>
      </c>
      <c r="AE8" s="2">
        <f>'29.07.2026'!H10</f>
        <v>0</v>
      </c>
      <c r="AF8" s="2">
        <f>'30.07.2026'!H10</f>
        <v>0</v>
      </c>
      <c r="AG8" s="58">
        <f>'31.07.2026'!H10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'01.07.2026'!H11</f>
        <v>0</v>
      </c>
      <c r="D9" s="2">
        <f>'02.07.2026'!H11</f>
        <v>0</v>
      </c>
      <c r="E9" s="2">
        <f>'03.07.2026'!H11</f>
        <v>0</v>
      </c>
      <c r="F9" s="6">
        <f>'04.07.2026'!H11</f>
        <v>0</v>
      </c>
      <c r="G9" s="6"/>
      <c r="H9" s="2">
        <f>'06.07.2026'!H11</f>
        <v>0</v>
      </c>
      <c r="I9" s="2">
        <f>'07.07.2026'!H11</f>
        <v>2</v>
      </c>
      <c r="J9" s="2">
        <f>'08.07.2026'!H11</f>
        <v>0</v>
      </c>
      <c r="K9" s="2">
        <f>'09.07.2026'!H11</f>
        <v>0</v>
      </c>
      <c r="L9" s="2">
        <f>'10.07.2026'!H11</f>
        <v>0</v>
      </c>
      <c r="M9" s="6">
        <f>'11.07.2026'!H11</f>
        <v>0</v>
      </c>
      <c r="N9" s="6"/>
      <c r="O9" s="2">
        <f>'13.07.2026'!H11</f>
        <v>0</v>
      </c>
      <c r="P9" s="2">
        <f>'14.07.2026'!H11</f>
        <v>0</v>
      </c>
      <c r="Q9" s="2">
        <f>'15.07.2026'!H11</f>
        <v>0</v>
      </c>
      <c r="R9" s="2">
        <f>'16.07.2026'!H11</f>
        <v>0</v>
      </c>
      <c r="S9" s="2">
        <f>'17.07.2026'!H11</f>
        <v>0</v>
      </c>
      <c r="T9" s="6">
        <f>'18.07.2026'!H11</f>
        <v>0</v>
      </c>
      <c r="U9" s="6"/>
      <c r="V9" s="2">
        <f>'20.07.2026'!H11</f>
        <v>0</v>
      </c>
      <c r="W9" s="2">
        <f>'21.07.2026'!H11</f>
        <v>0</v>
      </c>
      <c r="X9" s="2">
        <f>'22.07.2026'!H11</f>
        <v>0</v>
      </c>
      <c r="Y9" s="2">
        <f>'23.07.2026'!H11</f>
        <v>0</v>
      </c>
      <c r="Z9" s="2">
        <f>'24.07.2026'!H11</f>
        <v>0</v>
      </c>
      <c r="AA9" s="6">
        <f>'25.07.2026'!H11</f>
        <v>0</v>
      </c>
      <c r="AB9" s="6"/>
      <c r="AC9" s="2">
        <f>'27.07.2026'!H11</f>
        <v>0</v>
      </c>
      <c r="AD9" s="2">
        <f>'28.07.2026'!H11</f>
        <v>0</v>
      </c>
      <c r="AE9" s="2">
        <f>'29.07.2026'!H11</f>
        <v>0</v>
      </c>
      <c r="AF9" s="2">
        <f>'30.07.2026'!H11</f>
        <v>0</v>
      </c>
      <c r="AG9" s="58">
        <f>'31.07.2026'!H11</f>
        <v>0</v>
      </c>
      <c r="AH9"/>
      <c r="AI9" s="22">
        <f t="shared" si="0"/>
        <v>2</v>
      </c>
    </row>
    <row r="10" spans="1:35" ht="17.25" customHeight="1" x14ac:dyDescent="0.25">
      <c r="A10" s="4">
        <v>8</v>
      </c>
      <c r="B10" s="1" t="s">
        <v>11</v>
      </c>
      <c r="C10" s="2">
        <f>'01.07.2026'!H12</f>
        <v>0</v>
      </c>
      <c r="D10" s="2">
        <f>'02.07.2026'!H12</f>
        <v>0</v>
      </c>
      <c r="E10" s="2">
        <f>'03.07.2026'!H12</f>
        <v>0</v>
      </c>
      <c r="F10" s="6">
        <f>'04.07.2026'!H12</f>
        <v>0</v>
      </c>
      <c r="G10" s="6"/>
      <c r="H10" s="2">
        <f>'06.07.2026'!H12</f>
        <v>0</v>
      </c>
      <c r="I10" s="2">
        <f>'07.07.2026'!H12</f>
        <v>0</v>
      </c>
      <c r="J10" s="2">
        <f>'08.07.2026'!H12</f>
        <v>0</v>
      </c>
      <c r="K10" s="2">
        <f>'09.07.2026'!H12</f>
        <v>0</v>
      </c>
      <c r="L10" s="2">
        <f>'10.07.2026'!H12</f>
        <v>0</v>
      </c>
      <c r="M10" s="6">
        <f>'11.07.2026'!H12</f>
        <v>0</v>
      </c>
      <c r="N10" s="6"/>
      <c r="O10" s="2">
        <f>'13.07.2026'!H12</f>
        <v>0</v>
      </c>
      <c r="P10" s="2">
        <f>'14.07.2026'!H12</f>
        <v>0</v>
      </c>
      <c r="Q10" s="2">
        <f>'15.07.2026'!H12</f>
        <v>0</v>
      </c>
      <c r="R10" s="2">
        <f>'16.07.2026'!H12</f>
        <v>0</v>
      </c>
      <c r="S10" s="2">
        <f>'17.07.2026'!H12</f>
        <v>0</v>
      </c>
      <c r="T10" s="6">
        <f>'18.07.2026'!H12</f>
        <v>0</v>
      </c>
      <c r="U10" s="6"/>
      <c r="V10" s="2">
        <f>'20.07.2026'!H12</f>
        <v>0</v>
      </c>
      <c r="W10" s="2">
        <f>'21.07.2026'!H12</f>
        <v>0</v>
      </c>
      <c r="X10" s="2">
        <f>'22.07.2026'!H12</f>
        <v>0</v>
      </c>
      <c r="Y10" s="2">
        <f>'23.07.2026'!H12</f>
        <v>0</v>
      </c>
      <c r="Z10" s="2">
        <f>'24.07.2026'!H12</f>
        <v>0</v>
      </c>
      <c r="AA10" s="6">
        <f>'25.07.2026'!H12</f>
        <v>0</v>
      </c>
      <c r="AB10" s="6"/>
      <c r="AC10" s="2">
        <f>'27.07.2026'!H12</f>
        <v>0</v>
      </c>
      <c r="AD10" s="2">
        <f>'28.07.2026'!H12</f>
        <v>0</v>
      </c>
      <c r="AE10" s="2">
        <f>'29.07.2026'!H12</f>
        <v>0</v>
      </c>
      <c r="AF10" s="2">
        <f>'30.07.2026'!H12</f>
        <v>0</v>
      </c>
      <c r="AG10" s="58">
        <f>'31.07.2026'!H12</f>
        <v>0</v>
      </c>
      <c r="AH10"/>
      <c r="AI10" s="22">
        <f t="shared" si="0"/>
        <v>0</v>
      </c>
    </row>
    <row r="11" spans="1:35" ht="17.25" customHeight="1" thickBot="1" x14ac:dyDescent="0.3">
      <c r="A11" s="13">
        <v>9</v>
      </c>
      <c r="B11" s="10" t="s">
        <v>12</v>
      </c>
      <c r="C11" s="2">
        <f>'01.07.2026'!H13</f>
        <v>0</v>
      </c>
      <c r="D11" s="2">
        <f>'02.07.2026'!H13</f>
        <v>0</v>
      </c>
      <c r="E11" s="2">
        <f>'03.07.2026'!H13</f>
        <v>0</v>
      </c>
      <c r="F11" s="6">
        <f>'04.07.2026'!H13</f>
        <v>0</v>
      </c>
      <c r="G11" s="6"/>
      <c r="H11" s="2">
        <f>'06.07.2026'!H13</f>
        <v>0</v>
      </c>
      <c r="I11" s="2">
        <f>'07.07.2026'!H13</f>
        <v>0</v>
      </c>
      <c r="J11" s="2">
        <f>'08.07.2026'!H13</f>
        <v>0</v>
      </c>
      <c r="K11" s="2">
        <f>'09.07.2026'!H13</f>
        <v>0</v>
      </c>
      <c r="L11" s="2">
        <f>'10.07.2026'!H13</f>
        <v>0</v>
      </c>
      <c r="M11" s="6">
        <f>'11.07.2026'!H13</f>
        <v>0</v>
      </c>
      <c r="N11" s="6"/>
      <c r="O11" s="2">
        <f>'13.07.2026'!H13</f>
        <v>0</v>
      </c>
      <c r="P11" s="2">
        <f>'14.07.2026'!H13</f>
        <v>0</v>
      </c>
      <c r="Q11" s="2">
        <f>'15.07.2026'!H13</f>
        <v>0</v>
      </c>
      <c r="R11" s="2">
        <f>'16.07.2026'!H13</f>
        <v>0</v>
      </c>
      <c r="S11" s="2">
        <f>'17.07.2026'!H13</f>
        <v>0</v>
      </c>
      <c r="T11" s="6">
        <f>'18.07.2026'!H13</f>
        <v>0</v>
      </c>
      <c r="U11" s="6"/>
      <c r="V11" s="2">
        <f>'20.07.2026'!H13</f>
        <v>0</v>
      </c>
      <c r="W11" s="2">
        <f>'21.07.2026'!H13</f>
        <v>0</v>
      </c>
      <c r="X11" s="2">
        <f>'22.07.2026'!H13</f>
        <v>0</v>
      </c>
      <c r="Y11" s="2">
        <f>'23.07.2026'!H13</f>
        <v>0</v>
      </c>
      <c r="Z11" s="2">
        <f>'24.07.2026'!H13</f>
        <v>0</v>
      </c>
      <c r="AA11" s="6">
        <f>'25.07.2026'!H13</f>
        <v>0</v>
      </c>
      <c r="AB11" s="6"/>
      <c r="AC11" s="2">
        <f>'27.07.2026'!H13</f>
        <v>0</v>
      </c>
      <c r="AD11" s="2">
        <f>'28.07.2026'!H13</f>
        <v>0</v>
      </c>
      <c r="AE11" s="2">
        <f>'29.07.2026'!H13</f>
        <v>0</v>
      </c>
      <c r="AF11" s="2">
        <f>'30.07.2026'!H13</f>
        <v>0</v>
      </c>
      <c r="AG11" s="58">
        <f>'31.07.2026'!H13</f>
        <v>0</v>
      </c>
      <c r="AH11"/>
      <c r="AI11" s="22">
        <f t="shared" si="0"/>
        <v>0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79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'01.07.2026'!H16</f>
        <v>0</v>
      </c>
      <c r="D14" s="2">
        <f>'02.07.2026'!H16</f>
        <v>0</v>
      </c>
      <c r="E14" s="2">
        <f>'03.07.2026'!H16</f>
        <v>0</v>
      </c>
      <c r="F14" s="6">
        <f>'04.07.2026'!H16</f>
        <v>0</v>
      </c>
      <c r="G14" s="6"/>
      <c r="H14" s="2">
        <f>'06.07.2026'!H16</f>
        <v>5</v>
      </c>
      <c r="I14" s="2">
        <f>'07.07.2026'!H16</f>
        <v>1</v>
      </c>
      <c r="J14" s="2">
        <f>'08.07.2026'!H16</f>
        <v>5</v>
      </c>
      <c r="K14" s="2">
        <f>'09.07.2026'!H16</f>
        <v>8</v>
      </c>
      <c r="L14" s="2">
        <f>'10.07.2026'!H16</f>
        <v>6</v>
      </c>
      <c r="M14" s="6">
        <f>'11.07.2026'!H16</f>
        <v>0</v>
      </c>
      <c r="N14" s="6"/>
      <c r="O14" s="2">
        <f>'13.07.2026'!H16</f>
        <v>4</v>
      </c>
      <c r="P14" s="2">
        <f>'14.07.2026'!H16</f>
        <v>6</v>
      </c>
      <c r="Q14" s="2">
        <f>'15.07.2026'!H16</f>
        <v>4</v>
      </c>
      <c r="R14" s="2">
        <f>'16.07.2026'!H16</f>
        <v>6</v>
      </c>
      <c r="S14" s="2">
        <f>'17.07.2026'!H16</f>
        <v>11</v>
      </c>
      <c r="T14" s="6">
        <f>'18.07.2026'!H16</f>
        <v>0</v>
      </c>
      <c r="U14" s="6"/>
      <c r="V14" s="2">
        <f>'20.07.2026'!H16</f>
        <v>9</v>
      </c>
      <c r="W14" s="2">
        <f>'21.07.2026'!H16</f>
        <v>0</v>
      </c>
      <c r="X14" s="2">
        <f>'22.07.2026'!H16</f>
        <v>1</v>
      </c>
      <c r="Y14" s="2">
        <f>'23.07.2026'!H16</f>
        <v>0</v>
      </c>
      <c r="Z14" s="2">
        <f>'24.07.2026'!H16</f>
        <v>6</v>
      </c>
      <c r="AA14" s="6">
        <f>'25.07.2026'!H16</f>
        <v>0</v>
      </c>
      <c r="AB14" s="6"/>
      <c r="AC14" s="2">
        <f>'27.07.2026'!H16</f>
        <v>0</v>
      </c>
      <c r="AD14" s="2">
        <f>'28.07.2026'!H16</f>
        <v>0</v>
      </c>
      <c r="AE14" s="2">
        <f>'29.07.2026'!H16</f>
        <v>0</v>
      </c>
      <c r="AF14" s="2">
        <f>'30.07.2026'!H16</f>
        <v>6</v>
      </c>
      <c r="AG14" s="58">
        <f>'31.07.2026'!H16</f>
        <v>8</v>
      </c>
      <c r="AH14"/>
      <c r="AI14" s="22">
        <f t="shared" ref="AI14:AI24" si="1">SUM(C14:AF14)</f>
        <v>78</v>
      </c>
    </row>
    <row r="15" spans="1:35" ht="17.25" customHeight="1" x14ac:dyDescent="0.25">
      <c r="A15" s="4">
        <v>2</v>
      </c>
      <c r="B15" s="1" t="s">
        <v>15</v>
      </c>
      <c r="C15" s="2">
        <f>'01.07.2026'!H17</f>
        <v>0</v>
      </c>
      <c r="D15" s="2">
        <f>'02.07.2026'!H17</f>
        <v>0</v>
      </c>
      <c r="E15" s="2">
        <f>'03.07.2026'!H17</f>
        <v>0</v>
      </c>
      <c r="F15" s="6">
        <f>'04.07.2026'!H17</f>
        <v>0</v>
      </c>
      <c r="G15" s="6"/>
      <c r="H15" s="2">
        <f>'06.07.2026'!H17</f>
        <v>0</v>
      </c>
      <c r="I15" s="2">
        <f>'07.07.2026'!H17</f>
        <v>0</v>
      </c>
      <c r="J15" s="2">
        <f>'08.07.2026'!H17</f>
        <v>0</v>
      </c>
      <c r="K15" s="2">
        <f>'09.07.2026'!H17</f>
        <v>0</v>
      </c>
      <c r="L15" s="2">
        <f>'10.07.2026'!H17</f>
        <v>0</v>
      </c>
      <c r="M15" s="6">
        <f>'11.07.2026'!H17</f>
        <v>0</v>
      </c>
      <c r="N15" s="6"/>
      <c r="O15" s="2">
        <f>'13.07.2026'!H17</f>
        <v>0</v>
      </c>
      <c r="P15" s="2">
        <f>'14.07.2026'!H17</f>
        <v>0</v>
      </c>
      <c r="Q15" s="2">
        <f>'15.07.2026'!H17</f>
        <v>0</v>
      </c>
      <c r="R15" s="2">
        <f>'16.07.2026'!H17</f>
        <v>0</v>
      </c>
      <c r="S15" s="2">
        <f>'17.07.2026'!H17</f>
        <v>0</v>
      </c>
      <c r="T15" s="6">
        <f>'18.07.2026'!H17</f>
        <v>0</v>
      </c>
      <c r="U15" s="6"/>
      <c r="V15" s="2">
        <f>'20.07.2026'!H17</f>
        <v>0</v>
      </c>
      <c r="W15" s="2">
        <f>'21.07.2026'!H17</f>
        <v>0</v>
      </c>
      <c r="X15" s="2">
        <f>'22.07.2026'!H17</f>
        <v>0</v>
      </c>
      <c r="Y15" s="2">
        <f>'23.07.2026'!H17</f>
        <v>0</v>
      </c>
      <c r="Z15" s="2">
        <f>'24.07.2026'!H17</f>
        <v>0</v>
      </c>
      <c r="AA15" s="6">
        <f>'25.07.2026'!H17</f>
        <v>0</v>
      </c>
      <c r="AB15" s="6"/>
      <c r="AC15" s="2">
        <f>'27.07.2026'!H17</f>
        <v>0</v>
      </c>
      <c r="AD15" s="2">
        <f>'28.07.2026'!H17</f>
        <v>0</v>
      </c>
      <c r="AE15" s="2">
        <f>'29.07.2026'!H17</f>
        <v>0</v>
      </c>
      <c r="AF15" s="2">
        <f>'30.07.2026'!H17</f>
        <v>0</v>
      </c>
      <c r="AG15" s="58">
        <f>'31.07.2026'!H17</f>
        <v>0</v>
      </c>
      <c r="AH15"/>
      <c r="AI15" s="22">
        <f t="shared" si="1"/>
        <v>0</v>
      </c>
    </row>
    <row r="16" spans="1:35" ht="17.25" customHeight="1" x14ac:dyDescent="0.25">
      <c r="A16" s="4">
        <v>3</v>
      </c>
      <c r="B16" s="1" t="s">
        <v>16</v>
      </c>
      <c r="C16" s="2">
        <f>'01.07.2026'!H18</f>
        <v>0</v>
      </c>
      <c r="D16" s="2">
        <f>'02.07.2026'!H18</f>
        <v>0</v>
      </c>
      <c r="E16" s="2">
        <f>'03.07.2026'!H18</f>
        <v>0</v>
      </c>
      <c r="F16" s="6">
        <f>'04.07.2026'!H18</f>
        <v>0</v>
      </c>
      <c r="G16" s="6"/>
      <c r="H16" s="2">
        <f>'06.07.2026'!H18</f>
        <v>3</v>
      </c>
      <c r="I16" s="2">
        <f>'07.07.2026'!H18</f>
        <v>1</v>
      </c>
      <c r="J16" s="2">
        <f>'08.07.2026'!H18</f>
        <v>2</v>
      </c>
      <c r="K16" s="2">
        <f>'09.07.2026'!H18</f>
        <v>0</v>
      </c>
      <c r="L16" s="2">
        <f>'10.07.2026'!H18</f>
        <v>0</v>
      </c>
      <c r="M16" s="6">
        <f>'11.07.2026'!H18</f>
        <v>0</v>
      </c>
      <c r="N16" s="6"/>
      <c r="O16" s="2">
        <f>'13.07.2026'!H18</f>
        <v>0</v>
      </c>
      <c r="P16" s="2">
        <f>'14.07.2026'!H18</f>
        <v>0</v>
      </c>
      <c r="Q16" s="2">
        <f>'15.07.2026'!H18</f>
        <v>0</v>
      </c>
      <c r="R16" s="2">
        <f>'16.07.2026'!H18</f>
        <v>0</v>
      </c>
      <c r="S16" s="2">
        <f>'17.07.2026'!H18</f>
        <v>2</v>
      </c>
      <c r="T16" s="6">
        <f>'18.07.2026'!H18</f>
        <v>0</v>
      </c>
      <c r="U16" s="6"/>
      <c r="V16" s="2">
        <f>'20.07.2026'!H18</f>
        <v>0</v>
      </c>
      <c r="W16" s="2">
        <f>'21.07.2026'!H18</f>
        <v>0</v>
      </c>
      <c r="X16" s="2">
        <f>'22.07.2026'!H18</f>
        <v>0</v>
      </c>
      <c r="Y16" s="2">
        <f>'23.07.2026'!H18</f>
        <v>0</v>
      </c>
      <c r="Z16" s="2">
        <f>'24.07.2026'!H18</f>
        <v>0</v>
      </c>
      <c r="AA16" s="6">
        <f>'25.07.2026'!H18</f>
        <v>0</v>
      </c>
      <c r="AB16" s="6"/>
      <c r="AC16" s="2">
        <f>'27.07.2026'!H18</f>
        <v>1</v>
      </c>
      <c r="AD16" s="2">
        <f>'28.07.2026'!H18</f>
        <v>0</v>
      </c>
      <c r="AE16" s="2">
        <f>'29.07.2026'!H18</f>
        <v>0</v>
      </c>
      <c r="AF16" s="2">
        <f>'30.07.2026'!H18</f>
        <v>1</v>
      </c>
      <c r="AG16" s="58">
        <f>'31.07.2026'!H18</f>
        <v>0</v>
      </c>
      <c r="AH16"/>
      <c r="AI16" s="22">
        <f t="shared" si="1"/>
        <v>10</v>
      </c>
    </row>
    <row r="17" spans="1:35" ht="17.25" customHeight="1" x14ac:dyDescent="0.25">
      <c r="A17" s="4">
        <v>4</v>
      </c>
      <c r="B17" s="1" t="s">
        <v>17</v>
      </c>
      <c r="C17" s="2">
        <f>'01.07.2026'!H19</f>
        <v>0</v>
      </c>
      <c r="D17" s="2">
        <f>'02.07.2026'!H19</f>
        <v>0</v>
      </c>
      <c r="E17" s="2">
        <f>'03.07.2026'!H19</f>
        <v>0</v>
      </c>
      <c r="F17" s="6">
        <f>'04.07.2026'!H19</f>
        <v>0</v>
      </c>
      <c r="G17" s="6"/>
      <c r="H17" s="2">
        <f>'06.07.2026'!H19</f>
        <v>0</v>
      </c>
      <c r="I17" s="2">
        <f>'07.07.2026'!H19</f>
        <v>0</v>
      </c>
      <c r="J17" s="2">
        <f>'08.07.2026'!H19</f>
        <v>1</v>
      </c>
      <c r="K17" s="2">
        <f>'09.07.2026'!H19</f>
        <v>0</v>
      </c>
      <c r="L17" s="2">
        <f>'10.07.2026'!H19</f>
        <v>0</v>
      </c>
      <c r="M17" s="6">
        <f>'11.07.2026'!H19</f>
        <v>0</v>
      </c>
      <c r="N17" s="6"/>
      <c r="O17" s="2">
        <f>'13.07.2026'!H19</f>
        <v>0</v>
      </c>
      <c r="P17" s="2">
        <f>'14.07.2026'!H19</f>
        <v>0</v>
      </c>
      <c r="Q17" s="2">
        <f>'15.07.2026'!H19</f>
        <v>0</v>
      </c>
      <c r="R17" s="2">
        <f>'16.07.2026'!H19</f>
        <v>0</v>
      </c>
      <c r="S17" s="2">
        <f>'17.07.2026'!H19</f>
        <v>1</v>
      </c>
      <c r="T17" s="6">
        <f>'18.07.2026'!H19</f>
        <v>0</v>
      </c>
      <c r="U17" s="6"/>
      <c r="V17" s="2">
        <f>'20.07.2026'!H19</f>
        <v>1</v>
      </c>
      <c r="W17" s="2">
        <f>'21.07.2026'!H19</f>
        <v>0</v>
      </c>
      <c r="X17" s="2">
        <f>'22.07.2026'!H19</f>
        <v>0</v>
      </c>
      <c r="Y17" s="2">
        <f>'23.07.2026'!H19</f>
        <v>0</v>
      </c>
      <c r="Z17" s="2">
        <f>'24.07.2026'!H19</f>
        <v>0</v>
      </c>
      <c r="AA17" s="6">
        <f>'25.07.2026'!H19</f>
        <v>0</v>
      </c>
      <c r="AB17" s="6"/>
      <c r="AC17" s="2">
        <f>'27.07.2026'!H19</f>
        <v>1</v>
      </c>
      <c r="AD17" s="2">
        <f>'28.07.2026'!H19</f>
        <v>0</v>
      </c>
      <c r="AE17" s="2">
        <f>'29.07.2026'!H19</f>
        <v>0</v>
      </c>
      <c r="AF17" s="2">
        <f>'30.07.2026'!H19</f>
        <v>0</v>
      </c>
      <c r="AG17" s="58">
        <f>'31.07.2026'!H19</f>
        <v>0</v>
      </c>
      <c r="AH17"/>
      <c r="AI17" s="22">
        <f t="shared" si="1"/>
        <v>4</v>
      </c>
    </row>
    <row r="18" spans="1:35" ht="17.25" customHeight="1" x14ac:dyDescent="0.25">
      <c r="A18" s="4">
        <v>5</v>
      </c>
      <c r="B18" s="1" t="s">
        <v>10</v>
      </c>
      <c r="C18" s="2">
        <f>'01.07.2026'!H20</f>
        <v>0</v>
      </c>
      <c r="D18" s="2">
        <f>'02.07.2026'!H20</f>
        <v>0</v>
      </c>
      <c r="E18" s="2">
        <f>'03.07.2026'!H20</f>
        <v>0</v>
      </c>
      <c r="F18" s="6">
        <f>'04.07.2026'!H20</f>
        <v>0</v>
      </c>
      <c r="G18" s="6"/>
      <c r="H18" s="2">
        <f>'06.07.2026'!H20</f>
        <v>0</v>
      </c>
      <c r="I18" s="2">
        <f>'07.07.2026'!H20</f>
        <v>0</v>
      </c>
      <c r="J18" s="2">
        <f>'08.07.2026'!H20</f>
        <v>0</v>
      </c>
      <c r="K18" s="2">
        <f>'09.07.2026'!H20</f>
        <v>0</v>
      </c>
      <c r="L18" s="2">
        <f>'10.07.2026'!H20</f>
        <v>0</v>
      </c>
      <c r="M18" s="6">
        <f>'11.07.2026'!H20</f>
        <v>0</v>
      </c>
      <c r="N18" s="6"/>
      <c r="O18" s="2">
        <f>'13.07.2026'!H20</f>
        <v>0</v>
      </c>
      <c r="P18" s="2">
        <f>'14.07.2026'!H20</f>
        <v>0</v>
      </c>
      <c r="Q18" s="2">
        <f>'15.07.2026'!H20</f>
        <v>0</v>
      </c>
      <c r="R18" s="2">
        <f>'16.07.2026'!H20</f>
        <v>0</v>
      </c>
      <c r="S18" s="2">
        <f>'17.07.2026'!H20</f>
        <v>0</v>
      </c>
      <c r="T18" s="6">
        <f>'18.07.2026'!H20</f>
        <v>0</v>
      </c>
      <c r="U18" s="6"/>
      <c r="V18" s="2">
        <f>'20.07.2026'!H20</f>
        <v>0</v>
      </c>
      <c r="W18" s="2">
        <f>'21.07.2026'!H20</f>
        <v>0</v>
      </c>
      <c r="X18" s="2">
        <f>'22.07.2026'!H20</f>
        <v>0</v>
      </c>
      <c r="Y18" s="2">
        <f>'23.07.2026'!H20</f>
        <v>0</v>
      </c>
      <c r="Z18" s="2">
        <f>'24.07.2026'!H20</f>
        <v>0</v>
      </c>
      <c r="AA18" s="6">
        <f>'25.07.2026'!H20</f>
        <v>0</v>
      </c>
      <c r="AB18" s="6"/>
      <c r="AC18" s="2">
        <f>'27.07.2026'!H20</f>
        <v>0</v>
      </c>
      <c r="AD18" s="2">
        <f>'28.07.2026'!H20</f>
        <v>0</v>
      </c>
      <c r="AE18" s="2">
        <f>'29.07.2026'!H20</f>
        <v>0</v>
      </c>
      <c r="AF18" s="2">
        <f>'30.07.2026'!H20</f>
        <v>0</v>
      </c>
      <c r="AG18" s="58">
        <f>'31.07.2026'!H20</f>
        <v>0</v>
      </c>
      <c r="AH18"/>
      <c r="AI18" s="22">
        <f t="shared" si="1"/>
        <v>0</v>
      </c>
    </row>
    <row r="19" spans="1:35" ht="17.25" customHeight="1" x14ac:dyDescent="0.25">
      <c r="A19" s="4">
        <v>6</v>
      </c>
      <c r="B19" s="1" t="s">
        <v>18</v>
      </c>
      <c r="C19" s="2">
        <f>'01.07.2026'!H21</f>
        <v>0</v>
      </c>
      <c r="D19" s="2">
        <f>'02.07.2026'!H21</f>
        <v>0</v>
      </c>
      <c r="E19" s="2">
        <f>'03.07.2026'!H21</f>
        <v>0</v>
      </c>
      <c r="F19" s="6">
        <f>'04.07.2026'!H21</f>
        <v>0</v>
      </c>
      <c r="G19" s="6"/>
      <c r="H19" s="2">
        <f>'06.07.2026'!H21</f>
        <v>0</v>
      </c>
      <c r="I19" s="2">
        <f>'07.07.2026'!H21</f>
        <v>0</v>
      </c>
      <c r="J19" s="2">
        <f>'08.07.2026'!H21</f>
        <v>0</v>
      </c>
      <c r="K19" s="2">
        <f>'09.07.2026'!H21</f>
        <v>0</v>
      </c>
      <c r="L19" s="2">
        <f>'10.07.2026'!H21</f>
        <v>0</v>
      </c>
      <c r="M19" s="6">
        <f>'11.07.2026'!H21</f>
        <v>0</v>
      </c>
      <c r="N19" s="6"/>
      <c r="O19" s="2">
        <f>'13.07.2026'!H21</f>
        <v>0</v>
      </c>
      <c r="P19" s="2">
        <f>'14.07.2026'!H21</f>
        <v>0</v>
      </c>
      <c r="Q19" s="2">
        <f>'15.07.2026'!H21</f>
        <v>0</v>
      </c>
      <c r="R19" s="2">
        <f>'16.07.2026'!H21</f>
        <v>0</v>
      </c>
      <c r="S19" s="2">
        <f>'17.07.2026'!H21</f>
        <v>0</v>
      </c>
      <c r="T19" s="6">
        <f>'18.07.2026'!H21</f>
        <v>0</v>
      </c>
      <c r="U19" s="6"/>
      <c r="V19" s="2">
        <f>'20.07.2026'!H21</f>
        <v>0</v>
      </c>
      <c r="W19" s="2">
        <f>'21.07.2026'!H21</f>
        <v>0</v>
      </c>
      <c r="X19" s="2">
        <f>'22.07.2026'!H21</f>
        <v>0</v>
      </c>
      <c r="Y19" s="2">
        <f>'23.07.2026'!H21</f>
        <v>0</v>
      </c>
      <c r="Z19" s="2">
        <f>'24.07.2026'!H21</f>
        <v>0</v>
      </c>
      <c r="AA19" s="6">
        <f>'25.07.2026'!H21</f>
        <v>0</v>
      </c>
      <c r="AB19" s="6"/>
      <c r="AC19" s="2">
        <f>'27.07.2026'!H21</f>
        <v>0</v>
      </c>
      <c r="AD19" s="2">
        <f>'28.07.2026'!H21</f>
        <v>0</v>
      </c>
      <c r="AE19" s="2">
        <f>'29.07.2026'!H21</f>
        <v>0</v>
      </c>
      <c r="AF19" s="2">
        <f>'30.07.2026'!H21</f>
        <v>0</v>
      </c>
      <c r="AG19" s="58">
        <f>'31.07.2026'!H21</f>
        <v>0</v>
      </c>
      <c r="AH19"/>
      <c r="AI19" s="22">
        <f t="shared" si="1"/>
        <v>0</v>
      </c>
    </row>
    <row r="20" spans="1:35" ht="17.25" customHeight="1" x14ac:dyDescent="0.25">
      <c r="A20" s="4">
        <v>7</v>
      </c>
      <c r="B20" s="17" t="s">
        <v>19</v>
      </c>
      <c r="C20" s="2">
        <f>'01.07.2026'!H22</f>
        <v>0</v>
      </c>
      <c r="D20" s="2">
        <f>'02.07.2026'!H22</f>
        <v>0</v>
      </c>
      <c r="E20" s="2">
        <f>'03.07.2026'!H22</f>
        <v>0</v>
      </c>
      <c r="F20" s="6">
        <f>'04.07.2026'!H22</f>
        <v>0</v>
      </c>
      <c r="G20" s="6"/>
      <c r="H20" s="2">
        <f>'06.07.2026'!H22</f>
        <v>0</v>
      </c>
      <c r="I20" s="2">
        <f>'07.07.2026'!H22</f>
        <v>0</v>
      </c>
      <c r="J20" s="2">
        <f>'08.07.2026'!H22</f>
        <v>0</v>
      </c>
      <c r="K20" s="2">
        <f>'09.07.2026'!H22</f>
        <v>0</v>
      </c>
      <c r="L20" s="2">
        <f>'10.07.2026'!H22</f>
        <v>0</v>
      </c>
      <c r="M20" s="6">
        <f>'11.07.2026'!H22</f>
        <v>0</v>
      </c>
      <c r="N20" s="6"/>
      <c r="O20" s="2">
        <f>'13.07.2026'!H22</f>
        <v>0</v>
      </c>
      <c r="P20" s="2">
        <f>'14.07.2026'!H22</f>
        <v>0</v>
      </c>
      <c r="Q20" s="2">
        <f>'15.07.2026'!H22</f>
        <v>0</v>
      </c>
      <c r="R20" s="2">
        <f>'16.07.2026'!H22</f>
        <v>0</v>
      </c>
      <c r="S20" s="2">
        <f>'17.07.2026'!H22</f>
        <v>0</v>
      </c>
      <c r="T20" s="6">
        <f>'18.07.2026'!H22</f>
        <v>0</v>
      </c>
      <c r="U20" s="6"/>
      <c r="V20" s="2">
        <f>'20.07.2026'!H22</f>
        <v>0</v>
      </c>
      <c r="W20" s="2">
        <f>'21.07.2026'!H22</f>
        <v>0</v>
      </c>
      <c r="X20" s="2">
        <f>'22.07.2026'!H22</f>
        <v>0</v>
      </c>
      <c r="Y20" s="2">
        <f>'23.07.2026'!H22</f>
        <v>0</v>
      </c>
      <c r="Z20" s="2">
        <f>'24.07.2026'!H22</f>
        <v>0</v>
      </c>
      <c r="AA20" s="6">
        <f>'25.07.2026'!H22</f>
        <v>0</v>
      </c>
      <c r="AB20" s="6"/>
      <c r="AC20" s="2">
        <f>'27.07.2026'!H22</f>
        <v>0</v>
      </c>
      <c r="AD20" s="2">
        <f>'28.07.2026'!H22</f>
        <v>0</v>
      </c>
      <c r="AE20" s="2">
        <f>'29.07.2026'!H22</f>
        <v>0</v>
      </c>
      <c r="AF20" s="2">
        <f>'30.07.2026'!H22</f>
        <v>0</v>
      </c>
      <c r="AG20" s="58">
        <f>'31.07.2026'!H22</f>
        <v>0</v>
      </c>
      <c r="AH20"/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'01.07.2026'!H23</f>
        <v>0</v>
      </c>
      <c r="D21" s="2">
        <f>'02.07.2026'!H23</f>
        <v>0</v>
      </c>
      <c r="E21" s="2">
        <f>'03.07.2026'!H23</f>
        <v>0</v>
      </c>
      <c r="F21" s="6">
        <f>'04.07.2026'!H23</f>
        <v>0</v>
      </c>
      <c r="G21" s="6"/>
      <c r="H21" s="2">
        <f>'06.07.2026'!H23</f>
        <v>0</v>
      </c>
      <c r="I21" s="2">
        <f>'07.07.2026'!H23</f>
        <v>0</v>
      </c>
      <c r="J21" s="2">
        <f>'08.07.2026'!H23</f>
        <v>0</v>
      </c>
      <c r="K21" s="2">
        <f>'09.07.2026'!H23</f>
        <v>0</v>
      </c>
      <c r="L21" s="2">
        <f>'10.07.2026'!H23</f>
        <v>0</v>
      </c>
      <c r="M21" s="6">
        <f>'11.07.2026'!H23</f>
        <v>0</v>
      </c>
      <c r="N21" s="6"/>
      <c r="O21" s="2">
        <f>'13.07.2026'!H23</f>
        <v>0</v>
      </c>
      <c r="P21" s="2">
        <f>'14.07.2026'!H23</f>
        <v>0</v>
      </c>
      <c r="Q21" s="2">
        <f>'15.07.2026'!H23</f>
        <v>0</v>
      </c>
      <c r="R21" s="2">
        <f>'16.07.2026'!H23</f>
        <v>0</v>
      </c>
      <c r="S21" s="2">
        <f>'17.07.2026'!H23</f>
        <v>0</v>
      </c>
      <c r="T21" s="6">
        <f>'18.07.2026'!H23</f>
        <v>0</v>
      </c>
      <c r="U21" s="6"/>
      <c r="V21" s="2">
        <f>'20.07.2026'!H23</f>
        <v>0</v>
      </c>
      <c r="W21" s="2">
        <f>'21.07.2026'!H23</f>
        <v>0</v>
      </c>
      <c r="X21" s="2">
        <f>'22.07.2026'!H23</f>
        <v>0</v>
      </c>
      <c r="Y21" s="2">
        <f>'23.07.2026'!H23</f>
        <v>0</v>
      </c>
      <c r="Z21" s="2">
        <f>'24.07.2026'!H23</f>
        <v>0</v>
      </c>
      <c r="AA21" s="6">
        <f>'25.07.2026'!H23</f>
        <v>0</v>
      </c>
      <c r="AB21" s="6"/>
      <c r="AC21" s="2">
        <f>'27.07.2026'!H23</f>
        <v>0</v>
      </c>
      <c r="AD21" s="2">
        <f>'28.07.2026'!H23</f>
        <v>0</v>
      </c>
      <c r="AE21" s="2">
        <f>'29.07.2026'!H23</f>
        <v>0</v>
      </c>
      <c r="AF21" s="2">
        <f>'30.07.2026'!H23</f>
        <v>0</v>
      </c>
      <c r="AG21" s="58">
        <f>'31.07.2026'!H23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'01.07.2026'!H24</f>
        <v>0</v>
      </c>
      <c r="D22" s="2">
        <f>'02.07.2026'!H24</f>
        <v>0</v>
      </c>
      <c r="E22" s="2">
        <f>'03.07.2026'!H24</f>
        <v>0</v>
      </c>
      <c r="F22" s="6">
        <f>'04.07.2026'!H24</f>
        <v>0</v>
      </c>
      <c r="G22" s="6"/>
      <c r="H22" s="2">
        <f>'06.07.2026'!H24</f>
        <v>0</v>
      </c>
      <c r="I22" s="2">
        <f>'07.07.2026'!H24</f>
        <v>0</v>
      </c>
      <c r="J22" s="2">
        <f>'08.07.2026'!H24</f>
        <v>0</v>
      </c>
      <c r="K22" s="2">
        <f>'09.07.2026'!H24</f>
        <v>0</v>
      </c>
      <c r="L22" s="2">
        <f>'10.07.2026'!H24</f>
        <v>0</v>
      </c>
      <c r="M22" s="6">
        <f>'11.07.2026'!H24</f>
        <v>0</v>
      </c>
      <c r="N22" s="6"/>
      <c r="O22" s="2">
        <f>'13.07.2026'!H24</f>
        <v>0</v>
      </c>
      <c r="P22" s="2">
        <f>'14.07.2026'!H24</f>
        <v>0</v>
      </c>
      <c r="Q22" s="2">
        <f>'15.07.2026'!H24</f>
        <v>0</v>
      </c>
      <c r="R22" s="2">
        <f>'16.07.2026'!H24</f>
        <v>0</v>
      </c>
      <c r="S22" s="2">
        <f>'17.07.2026'!H24</f>
        <v>0</v>
      </c>
      <c r="T22" s="6">
        <f>'18.07.2026'!H24</f>
        <v>0</v>
      </c>
      <c r="U22" s="6"/>
      <c r="V22" s="2">
        <f>'20.07.2026'!H24</f>
        <v>0</v>
      </c>
      <c r="W22" s="2">
        <f>'21.07.2026'!H24</f>
        <v>0</v>
      </c>
      <c r="X22" s="2">
        <f>'22.07.2026'!H24</f>
        <v>1</v>
      </c>
      <c r="Y22" s="2">
        <f>'23.07.2026'!H24</f>
        <v>0</v>
      </c>
      <c r="Z22" s="2">
        <f>'24.07.2026'!H24</f>
        <v>0</v>
      </c>
      <c r="AA22" s="6">
        <f>'25.07.2026'!H24</f>
        <v>0</v>
      </c>
      <c r="AB22" s="6"/>
      <c r="AC22" s="2">
        <f>'27.07.2026'!H24</f>
        <v>0</v>
      </c>
      <c r="AD22" s="2">
        <f>'28.07.2026'!H24</f>
        <v>0</v>
      </c>
      <c r="AE22" s="2">
        <f>'29.07.2026'!H24</f>
        <v>0</v>
      </c>
      <c r="AF22" s="2">
        <f>'30.07.2026'!H24</f>
        <v>0</v>
      </c>
      <c r="AG22" s="58">
        <f>'31.07.2026'!H24</f>
        <v>0</v>
      </c>
      <c r="AH22"/>
      <c r="AI22" s="22">
        <f t="shared" si="1"/>
        <v>1</v>
      </c>
    </row>
    <row r="23" spans="1:35" ht="17.25" customHeight="1" x14ac:dyDescent="0.25">
      <c r="A23" s="4">
        <v>10</v>
      </c>
      <c r="B23" s="1" t="s">
        <v>22</v>
      </c>
      <c r="C23" s="2">
        <f>'01.07.2026'!H25</f>
        <v>0</v>
      </c>
      <c r="D23" s="2">
        <f>'02.07.2026'!H25</f>
        <v>0</v>
      </c>
      <c r="E23" s="2">
        <f>'03.07.2026'!H25</f>
        <v>0</v>
      </c>
      <c r="F23" s="6">
        <f>'04.07.2026'!H25</f>
        <v>0</v>
      </c>
      <c r="G23" s="6"/>
      <c r="H23" s="2">
        <f>'06.07.2026'!H25</f>
        <v>0</v>
      </c>
      <c r="I23" s="2">
        <f>'07.07.2026'!H25</f>
        <v>0</v>
      </c>
      <c r="J23" s="2">
        <f>'08.07.2026'!H25</f>
        <v>0</v>
      </c>
      <c r="K23" s="2">
        <f>'09.07.2026'!H25</f>
        <v>0</v>
      </c>
      <c r="L23" s="2">
        <f>'10.07.2026'!H25</f>
        <v>0</v>
      </c>
      <c r="M23" s="6">
        <f>'11.07.2026'!H25</f>
        <v>0</v>
      </c>
      <c r="N23" s="6"/>
      <c r="O23" s="2">
        <f>'13.07.2026'!H25</f>
        <v>0</v>
      </c>
      <c r="P23" s="2">
        <f>'14.07.2026'!H25</f>
        <v>0</v>
      </c>
      <c r="Q23" s="2">
        <f>'15.07.2026'!H25</f>
        <v>0</v>
      </c>
      <c r="R23" s="2">
        <f>'16.07.2026'!H25</f>
        <v>0</v>
      </c>
      <c r="S23" s="2">
        <f>'17.07.2026'!H25</f>
        <v>0</v>
      </c>
      <c r="T23" s="6">
        <f>'18.07.2026'!H25</f>
        <v>0</v>
      </c>
      <c r="U23" s="6"/>
      <c r="V23" s="2">
        <f>'20.07.2026'!H25</f>
        <v>0</v>
      </c>
      <c r="W23" s="2">
        <f>'21.07.2026'!H25</f>
        <v>0</v>
      </c>
      <c r="X23" s="2">
        <f>'22.07.2026'!H25</f>
        <v>0</v>
      </c>
      <c r="Y23" s="2">
        <f>'23.07.2026'!H25</f>
        <v>0</v>
      </c>
      <c r="Z23" s="2">
        <f>'24.07.2026'!H25</f>
        <v>0</v>
      </c>
      <c r="AA23" s="6">
        <f>'25.07.2026'!H25</f>
        <v>0</v>
      </c>
      <c r="AB23" s="6"/>
      <c r="AC23" s="2">
        <f>'27.07.2026'!H25</f>
        <v>0</v>
      </c>
      <c r="AD23" s="2">
        <f>'28.07.2026'!H25</f>
        <v>0</v>
      </c>
      <c r="AE23" s="2">
        <f>'29.07.2026'!H25</f>
        <v>0</v>
      </c>
      <c r="AF23" s="2">
        <f>'30.07.2026'!H25</f>
        <v>0</v>
      </c>
      <c r="AG23" s="58">
        <f>'31.07.2026'!H25</f>
        <v>0</v>
      </c>
      <c r="AH23"/>
      <c r="AI23" s="22">
        <f t="shared" si="1"/>
        <v>0</v>
      </c>
    </row>
    <row r="24" spans="1:35" ht="17.25" customHeight="1" thickBot="1" x14ac:dyDescent="0.3">
      <c r="A24" s="13">
        <v>11</v>
      </c>
      <c r="B24" s="20" t="s">
        <v>23</v>
      </c>
      <c r="C24" s="5">
        <f>'01.07.2026'!H26</f>
        <v>0</v>
      </c>
      <c r="D24" s="5">
        <f>'02.07.2026'!H26</f>
        <v>0</v>
      </c>
      <c r="E24" s="5">
        <f>'03.07.2026'!H26</f>
        <v>0</v>
      </c>
      <c r="F24" s="7">
        <f>'04.07.2026'!H26</f>
        <v>0</v>
      </c>
      <c r="G24" s="7"/>
      <c r="H24" s="5">
        <f>'06.07.2026'!H26</f>
        <v>0</v>
      </c>
      <c r="I24" s="5">
        <f>'07.07.2026'!H26</f>
        <v>0</v>
      </c>
      <c r="J24" s="5">
        <f>'08.07.2026'!H26</f>
        <v>0</v>
      </c>
      <c r="K24" s="5">
        <f>'09.07.2026'!H26</f>
        <v>0</v>
      </c>
      <c r="L24" s="5">
        <f>'10.07.2026'!H26</f>
        <v>0</v>
      </c>
      <c r="M24" s="7">
        <f>'11.07.2026'!H26</f>
        <v>0</v>
      </c>
      <c r="N24" s="7"/>
      <c r="O24" s="5">
        <f>'13.07.2026'!H26</f>
        <v>0</v>
      </c>
      <c r="P24" s="5">
        <f>'14.07.2026'!H26</f>
        <v>0</v>
      </c>
      <c r="Q24" s="5">
        <f>'15.07.2026'!H26</f>
        <v>0</v>
      </c>
      <c r="R24" s="5">
        <f>'16.07.2026'!H26</f>
        <v>0</v>
      </c>
      <c r="S24" s="5">
        <f>'17.07.2026'!H26</f>
        <v>2</v>
      </c>
      <c r="T24" s="7">
        <f>'18.07.2026'!H26</f>
        <v>0</v>
      </c>
      <c r="U24" s="7"/>
      <c r="V24" s="5">
        <f>'20.07.2026'!H26</f>
        <v>0</v>
      </c>
      <c r="W24" s="5">
        <f>'21.07.2026'!H26</f>
        <v>0</v>
      </c>
      <c r="X24" s="5">
        <f>'22.07.2026'!H26</f>
        <v>1</v>
      </c>
      <c r="Y24" s="5">
        <f>'23.07.2026'!H26</f>
        <v>0</v>
      </c>
      <c r="Z24" s="5">
        <f>'24.07.2026'!H26</f>
        <v>0</v>
      </c>
      <c r="AA24" s="7">
        <f>'25.07.2026'!H26</f>
        <v>0</v>
      </c>
      <c r="AB24" s="7"/>
      <c r="AC24" s="5">
        <f>'27.07.2026'!H26</f>
        <v>1</v>
      </c>
      <c r="AD24" s="5">
        <f>'28.07.2026'!H26</f>
        <v>1</v>
      </c>
      <c r="AE24" s="5">
        <f>'29.07.2026'!H26</f>
        <v>0</v>
      </c>
      <c r="AF24" s="5">
        <f>'30.07.2026'!H26</f>
        <v>0</v>
      </c>
      <c r="AG24" s="59">
        <f>'31.07.2026'!H26</f>
        <v>0</v>
      </c>
      <c r="AH24"/>
      <c r="AI24" s="22">
        <f t="shared" si="1"/>
        <v>5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79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'01.07.2026'!H29</f>
        <v>0</v>
      </c>
      <c r="D27" s="2">
        <f>'02.07.2026'!H29</f>
        <v>0</v>
      </c>
      <c r="E27" s="2">
        <f>'03.07.2026'!H29</f>
        <v>0</v>
      </c>
      <c r="F27" s="6">
        <f>'04.07.2026'!H29</f>
        <v>0</v>
      </c>
      <c r="G27" s="6"/>
      <c r="H27" s="2">
        <f>'06.07.2026'!H29</f>
        <v>0</v>
      </c>
      <c r="I27" s="2">
        <f>'07.07.2026'!H29</f>
        <v>0</v>
      </c>
      <c r="J27" s="2">
        <f>'08.07.2026'!H29</f>
        <v>0</v>
      </c>
      <c r="K27" s="2">
        <f>'09.07.2026'!H29</f>
        <v>0</v>
      </c>
      <c r="L27" s="2">
        <f>'10.07.2026'!H29</f>
        <v>0</v>
      </c>
      <c r="M27" s="6">
        <f>'11.07.2026'!H29</f>
        <v>0</v>
      </c>
      <c r="N27" s="6"/>
      <c r="O27" s="2">
        <f>'13.07.2026'!H29</f>
        <v>0</v>
      </c>
      <c r="P27" s="2">
        <f>'14.07.2026'!H29</f>
        <v>0</v>
      </c>
      <c r="Q27" s="2">
        <f>'15.07.2026'!H29</f>
        <v>0</v>
      </c>
      <c r="R27" s="2">
        <f>'16.07.2026'!H29</f>
        <v>0</v>
      </c>
      <c r="S27" s="2">
        <f>'17.07.2026'!H29</f>
        <v>0</v>
      </c>
      <c r="T27" s="6">
        <f>'18.07.2026'!H29</f>
        <v>0</v>
      </c>
      <c r="U27" s="6"/>
      <c r="V27" s="2">
        <f>'20.07.2026'!H29</f>
        <v>0</v>
      </c>
      <c r="W27" s="2">
        <f>'21.07.2026'!H29</f>
        <v>0</v>
      </c>
      <c r="X27" s="2">
        <f>'22.07.2026'!H29</f>
        <v>0</v>
      </c>
      <c r="Y27" s="2">
        <f>'23.07.2026'!H29</f>
        <v>0</v>
      </c>
      <c r="Z27" s="2">
        <f>'24.07.2026'!H29</f>
        <v>0</v>
      </c>
      <c r="AA27" s="6">
        <f>'25.07.2026'!H29</f>
        <v>0</v>
      </c>
      <c r="AB27" s="6"/>
      <c r="AC27" s="2">
        <f>'27.07.2026'!H29</f>
        <v>0</v>
      </c>
      <c r="AD27" s="2">
        <f>'28.07.2026'!H29</f>
        <v>0</v>
      </c>
      <c r="AE27" s="2">
        <f>'29.07.2026'!H29</f>
        <v>0</v>
      </c>
      <c r="AF27" s="2">
        <f>'30.07.2026'!H29</f>
        <v>0</v>
      </c>
      <c r="AG27" s="58">
        <f>'31.07.2026'!H29</f>
        <v>0</v>
      </c>
      <c r="AH27"/>
      <c r="AI27" s="22">
        <f t="shared" ref="AI27:AI31" si="2">SUM(C27:AF27)</f>
        <v>0</v>
      </c>
    </row>
    <row r="28" spans="1:35" ht="17.25" customHeight="1" x14ac:dyDescent="0.25">
      <c r="A28" s="4">
        <v>2</v>
      </c>
      <c r="B28" s="18" t="s">
        <v>26</v>
      </c>
      <c r="C28" s="2">
        <f>'01.07.2026'!H30</f>
        <v>0</v>
      </c>
      <c r="D28" s="2">
        <f>'02.07.2026'!H30</f>
        <v>0</v>
      </c>
      <c r="E28" s="2">
        <f>'03.07.2026'!H30</f>
        <v>0</v>
      </c>
      <c r="F28" s="6">
        <f>'04.07.2026'!H30</f>
        <v>0</v>
      </c>
      <c r="G28" s="6"/>
      <c r="H28" s="2">
        <f>'06.07.2026'!H30</f>
        <v>0</v>
      </c>
      <c r="I28" s="2">
        <f>'07.07.2026'!H30</f>
        <v>7</v>
      </c>
      <c r="J28" s="2">
        <f>'08.07.2026'!H30</f>
        <v>0</v>
      </c>
      <c r="K28" s="2">
        <f>'09.07.2026'!H30</f>
        <v>0</v>
      </c>
      <c r="L28" s="2">
        <f>'10.07.2026'!H30</f>
        <v>0</v>
      </c>
      <c r="M28" s="6">
        <f>'11.07.2026'!H30</f>
        <v>0</v>
      </c>
      <c r="N28" s="6"/>
      <c r="O28" s="2">
        <f>'13.07.2026'!H30</f>
        <v>0</v>
      </c>
      <c r="P28" s="2">
        <f>'14.07.2026'!H30</f>
        <v>0</v>
      </c>
      <c r="Q28" s="2">
        <f>'15.07.2026'!H30</f>
        <v>0</v>
      </c>
      <c r="R28" s="2">
        <f>'16.07.2026'!H30</f>
        <v>0</v>
      </c>
      <c r="S28" s="2">
        <f>'17.07.2026'!H30</f>
        <v>0</v>
      </c>
      <c r="T28" s="6">
        <f>'18.07.2026'!H30</f>
        <v>0</v>
      </c>
      <c r="U28" s="6"/>
      <c r="V28" s="2">
        <f>'20.07.2026'!H30</f>
        <v>1</v>
      </c>
      <c r="W28" s="2">
        <f>'21.07.2026'!H30</f>
        <v>0</v>
      </c>
      <c r="X28" s="2">
        <f>'22.07.2026'!H30</f>
        <v>1</v>
      </c>
      <c r="Y28" s="2">
        <f>'23.07.2026'!H30</f>
        <v>0</v>
      </c>
      <c r="Z28" s="2">
        <f>'24.07.2026'!H30</f>
        <v>0</v>
      </c>
      <c r="AA28" s="6">
        <f>'25.07.2026'!H30</f>
        <v>0</v>
      </c>
      <c r="AB28" s="6"/>
      <c r="AC28" s="2">
        <f>'27.07.2026'!H30</f>
        <v>0</v>
      </c>
      <c r="AD28" s="2">
        <f>'28.07.2026'!H30</f>
        <v>0</v>
      </c>
      <c r="AE28" s="2">
        <f>'29.07.2026'!H30</f>
        <v>0</v>
      </c>
      <c r="AF28" s="2">
        <f>'30.07.2026'!H30</f>
        <v>0</v>
      </c>
      <c r="AG28" s="58">
        <f>'31.07.2026'!H30</f>
        <v>0</v>
      </c>
      <c r="AH28"/>
      <c r="AI28" s="22">
        <f t="shared" si="2"/>
        <v>9</v>
      </c>
    </row>
    <row r="29" spans="1:35" ht="17.25" customHeight="1" x14ac:dyDescent="0.25">
      <c r="A29" s="4">
        <v>3</v>
      </c>
      <c r="B29" s="18" t="s">
        <v>27</v>
      </c>
      <c r="C29" s="2">
        <f>'01.07.2026'!H31</f>
        <v>0</v>
      </c>
      <c r="D29" s="2">
        <f>'02.07.2026'!H31</f>
        <v>0</v>
      </c>
      <c r="E29" s="2">
        <f>'03.07.2026'!H31</f>
        <v>0</v>
      </c>
      <c r="F29" s="6">
        <f>'04.07.2026'!H31</f>
        <v>0</v>
      </c>
      <c r="G29" s="6"/>
      <c r="H29" s="2">
        <f>'06.07.2026'!H31</f>
        <v>0</v>
      </c>
      <c r="I29" s="2">
        <f>'07.07.2026'!H31</f>
        <v>0</v>
      </c>
      <c r="J29" s="2">
        <f>'08.07.2026'!H31</f>
        <v>0</v>
      </c>
      <c r="K29" s="2">
        <f>'09.07.2026'!H31</f>
        <v>0</v>
      </c>
      <c r="L29" s="2">
        <f>'10.07.2026'!H31</f>
        <v>0</v>
      </c>
      <c r="M29" s="6">
        <f>'11.07.2026'!H31</f>
        <v>0</v>
      </c>
      <c r="N29" s="6"/>
      <c r="O29" s="2">
        <f>'13.07.2026'!H31</f>
        <v>0</v>
      </c>
      <c r="P29" s="2">
        <f>'14.07.2026'!H31</f>
        <v>0</v>
      </c>
      <c r="Q29" s="2">
        <f>'15.07.2026'!H31</f>
        <v>0</v>
      </c>
      <c r="R29" s="2">
        <f>'16.07.2026'!H31</f>
        <v>0</v>
      </c>
      <c r="S29" s="2">
        <f>'17.07.2026'!H31</f>
        <v>0</v>
      </c>
      <c r="T29" s="6">
        <f>'18.07.2026'!H31</f>
        <v>0</v>
      </c>
      <c r="U29" s="6"/>
      <c r="V29" s="2">
        <f>'20.07.2026'!H31</f>
        <v>0</v>
      </c>
      <c r="W29" s="2">
        <f>'21.07.2026'!H31</f>
        <v>0</v>
      </c>
      <c r="X29" s="2">
        <f>'22.07.2026'!H31</f>
        <v>0</v>
      </c>
      <c r="Y29" s="2">
        <f>'23.07.2026'!H31</f>
        <v>0</v>
      </c>
      <c r="Z29" s="2">
        <f>'24.07.2026'!H31</f>
        <v>0</v>
      </c>
      <c r="AA29" s="6">
        <f>'25.07.2026'!H31</f>
        <v>0</v>
      </c>
      <c r="AB29" s="6"/>
      <c r="AC29" s="2">
        <f>'27.07.2026'!H31</f>
        <v>0</v>
      </c>
      <c r="AD29" s="2">
        <f>'28.07.2026'!H31</f>
        <v>0</v>
      </c>
      <c r="AE29" s="2">
        <f>'29.07.2026'!H31</f>
        <v>0</v>
      </c>
      <c r="AF29" s="2">
        <f>'30.07.2026'!H31</f>
        <v>0</v>
      </c>
      <c r="AG29" s="58">
        <f>'31.07.2026'!H31</f>
        <v>0</v>
      </c>
      <c r="AH29"/>
      <c r="AI29" s="22">
        <f t="shared" si="2"/>
        <v>0</v>
      </c>
    </row>
    <row r="30" spans="1:35" ht="17.25" customHeight="1" x14ac:dyDescent="0.25">
      <c r="A30" s="4">
        <v>4</v>
      </c>
      <c r="B30" s="18" t="s">
        <v>28</v>
      </c>
      <c r="C30" s="2">
        <f>'01.07.2026'!H32</f>
        <v>0</v>
      </c>
      <c r="D30" s="2">
        <f>'02.07.2026'!H32</f>
        <v>0</v>
      </c>
      <c r="E30" s="2">
        <f>'03.07.2026'!H32</f>
        <v>0</v>
      </c>
      <c r="F30" s="6">
        <f>'04.07.2026'!H32</f>
        <v>0</v>
      </c>
      <c r="G30" s="6"/>
      <c r="H30" s="2">
        <f>'06.07.2026'!H32</f>
        <v>0</v>
      </c>
      <c r="I30" s="2">
        <f>'07.07.2026'!H32</f>
        <v>0</v>
      </c>
      <c r="J30" s="2">
        <f>'08.07.2026'!H32</f>
        <v>0</v>
      </c>
      <c r="K30" s="2">
        <f>'09.07.2026'!H32</f>
        <v>1</v>
      </c>
      <c r="L30" s="2">
        <f>'10.07.2026'!H32</f>
        <v>0</v>
      </c>
      <c r="M30" s="6">
        <f>'11.07.2026'!H32</f>
        <v>0</v>
      </c>
      <c r="N30" s="6"/>
      <c r="O30" s="2">
        <f>'13.07.2026'!H32</f>
        <v>0</v>
      </c>
      <c r="P30" s="2">
        <f>'14.07.2026'!H32</f>
        <v>0</v>
      </c>
      <c r="Q30" s="2">
        <f>'15.07.2026'!H32</f>
        <v>0</v>
      </c>
      <c r="R30" s="2">
        <f>'16.07.2026'!H32</f>
        <v>0</v>
      </c>
      <c r="S30" s="2">
        <f>'17.07.2026'!H32</f>
        <v>0</v>
      </c>
      <c r="T30" s="6">
        <f>'18.07.2026'!H32</f>
        <v>0</v>
      </c>
      <c r="U30" s="6"/>
      <c r="V30" s="2">
        <f>'20.07.2026'!H32</f>
        <v>0</v>
      </c>
      <c r="W30" s="2">
        <f>'21.07.2026'!H32</f>
        <v>0</v>
      </c>
      <c r="X30" s="2">
        <f>'22.07.2026'!H32</f>
        <v>0</v>
      </c>
      <c r="Y30" s="2">
        <f>'23.07.2026'!H32</f>
        <v>0</v>
      </c>
      <c r="Z30" s="2">
        <f>'24.07.2026'!H32</f>
        <v>0</v>
      </c>
      <c r="AA30" s="6">
        <f>'25.07.2026'!H32</f>
        <v>0</v>
      </c>
      <c r="AB30" s="6"/>
      <c r="AC30" s="2">
        <f>'27.07.2026'!H32</f>
        <v>0</v>
      </c>
      <c r="AD30" s="2">
        <f>'28.07.2026'!H32</f>
        <v>0</v>
      </c>
      <c r="AE30" s="2">
        <f>'29.07.2026'!H32</f>
        <v>0</v>
      </c>
      <c r="AF30" s="2">
        <f>'30.07.2026'!H32</f>
        <v>0</v>
      </c>
      <c r="AG30" s="58">
        <f>'31.07.2026'!H32</f>
        <v>0</v>
      </c>
      <c r="AH30"/>
      <c r="AI30" s="22">
        <f t="shared" si="2"/>
        <v>1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'01.07.2026'!H33</f>
        <v>20</v>
      </c>
      <c r="D31" s="5">
        <f>'02.07.2026'!H33</f>
        <v>24</v>
      </c>
      <c r="E31" s="5">
        <f>'03.07.2026'!H33</f>
        <v>2</v>
      </c>
      <c r="F31" s="7">
        <f>'04.07.2026'!H33</f>
        <v>0</v>
      </c>
      <c r="G31" s="7"/>
      <c r="H31" s="5">
        <f>'06.07.2026'!H33</f>
        <v>3</v>
      </c>
      <c r="I31" s="5">
        <f>'07.07.2026'!H33</f>
        <v>0</v>
      </c>
      <c r="J31" s="5">
        <f>'08.07.2026'!H33</f>
        <v>2</v>
      </c>
      <c r="K31" s="5">
        <f>'09.07.2026'!H33</f>
        <v>0</v>
      </c>
      <c r="L31" s="5">
        <f>'10.07.2026'!H33</f>
        <v>2</v>
      </c>
      <c r="M31" s="7">
        <f>'11.07.2026'!H33</f>
        <v>0</v>
      </c>
      <c r="N31" s="7"/>
      <c r="O31" s="5">
        <f>'13.07.2026'!H33</f>
        <v>4</v>
      </c>
      <c r="P31" s="5">
        <f>'14.07.2026'!H33</f>
        <v>1</v>
      </c>
      <c r="Q31" s="5">
        <f>'15.07.2026'!H33</f>
        <v>0</v>
      </c>
      <c r="R31" s="5">
        <f>'16.07.2026'!H33</f>
        <v>0</v>
      </c>
      <c r="S31" s="5">
        <f>'17.07.2026'!H33</f>
        <v>0</v>
      </c>
      <c r="T31" s="7">
        <f>'18.07.2026'!H33</f>
        <v>0</v>
      </c>
      <c r="U31" s="7"/>
      <c r="V31" s="5">
        <f>'20.07.2026'!H33</f>
        <v>0</v>
      </c>
      <c r="W31" s="5">
        <f>'21.07.2026'!H33</f>
        <v>32</v>
      </c>
      <c r="X31" s="5">
        <f>'22.07.2026'!H33</f>
        <v>24</v>
      </c>
      <c r="Y31" s="5">
        <f>'23.07.2026'!H33</f>
        <v>38</v>
      </c>
      <c r="Z31" s="5">
        <f>'24.07.2026'!H33</f>
        <v>13</v>
      </c>
      <c r="AA31" s="7">
        <f>'25.07.2026'!H33</f>
        <v>0</v>
      </c>
      <c r="AB31" s="7"/>
      <c r="AC31" s="5">
        <f>'27.07.2026'!H33</f>
        <v>24</v>
      </c>
      <c r="AD31" s="5">
        <f>'28.07.2026'!H33</f>
        <v>34</v>
      </c>
      <c r="AE31" s="5">
        <f>'29.07.2026'!H33</f>
        <v>29</v>
      </c>
      <c r="AF31" s="5">
        <f>'30.07.2026'!H33</f>
        <v>14</v>
      </c>
      <c r="AG31" s="59">
        <f>'31.07.2026'!H33</f>
        <v>4</v>
      </c>
      <c r="AH31"/>
      <c r="AI31" s="22">
        <f t="shared" si="2"/>
        <v>266</v>
      </c>
    </row>
  </sheetData>
  <mergeCells count="3">
    <mergeCell ref="A1:AF1"/>
    <mergeCell ref="AI12:AI13"/>
    <mergeCell ref="AI25:AI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D406-F9F8-4BAE-9D27-EFAE8996770A}">
  <sheetPr codeName="Sheet34"/>
  <dimension ref="A1:AI31"/>
  <sheetViews>
    <sheetView workbookViewId="0">
      <selection activeCell="AI25" sqref="AI25:AI26"/>
    </sheetView>
  </sheetViews>
  <sheetFormatPr defaultRowHeight="15" x14ac:dyDescent="0.25"/>
  <cols>
    <col min="1" max="1" width="6.5703125" customWidth="1"/>
    <col min="2" max="2" width="41.5703125" customWidth="1"/>
    <col min="3" max="32" width="5.7109375" customWidth="1"/>
    <col min="33" max="33" width="5.5703125" customWidth="1"/>
    <col min="34" max="34" width="6.7109375" style="14" bestFit="1" customWidth="1"/>
    <col min="35" max="35" width="10" customWidth="1"/>
  </cols>
  <sheetData>
    <row r="1" spans="1:35" ht="19.5" thickBot="1" x14ac:dyDescent="0.35">
      <c r="A1" s="175" t="s">
        <v>35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5"/>
      <c r="AH1"/>
      <c r="AI1" s="14"/>
    </row>
    <row r="2" spans="1:35" ht="17.25" customHeight="1" x14ac:dyDescent="0.25">
      <c r="A2" s="3" t="s">
        <v>1</v>
      </c>
      <c r="B2" s="16" t="s">
        <v>2</v>
      </c>
      <c r="C2" s="57">
        <v>1</v>
      </c>
      <c r="D2" s="57">
        <v>2</v>
      </c>
      <c r="E2" s="57">
        <v>3</v>
      </c>
      <c r="F2" s="57">
        <v>4</v>
      </c>
      <c r="G2" s="57">
        <v>5</v>
      </c>
      <c r="H2" s="57">
        <v>6</v>
      </c>
      <c r="I2" s="57">
        <v>7</v>
      </c>
      <c r="J2" s="57">
        <v>8</v>
      </c>
      <c r="K2" s="57">
        <v>9</v>
      </c>
      <c r="L2" s="57">
        <v>10</v>
      </c>
      <c r="M2" s="57">
        <v>11</v>
      </c>
      <c r="N2" s="57">
        <v>12</v>
      </c>
      <c r="O2" s="57">
        <v>13</v>
      </c>
      <c r="P2" s="57">
        <v>14</v>
      </c>
      <c r="Q2" s="57">
        <v>15</v>
      </c>
      <c r="R2" s="57">
        <v>16</v>
      </c>
      <c r="S2" s="57">
        <v>17</v>
      </c>
      <c r="T2" s="57">
        <v>18</v>
      </c>
      <c r="U2" s="57">
        <v>19</v>
      </c>
      <c r="V2" s="57">
        <v>20</v>
      </c>
      <c r="W2" s="57">
        <v>21</v>
      </c>
      <c r="X2" s="57">
        <v>22</v>
      </c>
      <c r="Y2" s="57">
        <v>23</v>
      </c>
      <c r="Z2" s="57">
        <v>24</v>
      </c>
      <c r="AA2" s="57">
        <v>25</v>
      </c>
      <c r="AB2" s="57">
        <v>26</v>
      </c>
      <c r="AC2" s="57">
        <v>27</v>
      </c>
      <c r="AD2" s="57">
        <v>28</v>
      </c>
      <c r="AE2" s="57">
        <v>29</v>
      </c>
      <c r="AF2" s="57">
        <v>30</v>
      </c>
      <c r="AG2" s="8">
        <v>31</v>
      </c>
      <c r="AH2"/>
      <c r="AI2" s="22" t="s">
        <v>3</v>
      </c>
    </row>
    <row r="3" spans="1:35" ht="17.25" customHeight="1" x14ac:dyDescent="0.25">
      <c r="A3" s="4">
        <v>1</v>
      </c>
      <c r="B3" s="1" t="s">
        <v>4</v>
      </c>
      <c r="C3" s="2">
        <f>'01.07.2026'!I5</f>
        <v>8</v>
      </c>
      <c r="D3" s="2">
        <f>'02.07.2026'!I5</f>
        <v>1</v>
      </c>
      <c r="E3" s="2">
        <f>'03.07.2026'!I5</f>
        <v>6</v>
      </c>
      <c r="F3" s="6">
        <f>'04.07.2026'!I5</f>
        <v>6</v>
      </c>
      <c r="G3" s="6"/>
      <c r="H3" s="2">
        <f>'06.07.2026'!I5</f>
        <v>11</v>
      </c>
      <c r="I3" s="2">
        <f>'07.07.2026'!I5</f>
        <v>4</v>
      </c>
      <c r="J3" s="2">
        <f>'08.07.2026'!I5</f>
        <v>11</v>
      </c>
      <c r="K3" s="2">
        <f>'09.07.2026'!I5</f>
        <v>6</v>
      </c>
      <c r="L3" s="2">
        <f>'10.07.2026'!I5</f>
        <v>2</v>
      </c>
      <c r="M3" s="6">
        <f>'11.07.2026'!I5</f>
        <v>0</v>
      </c>
      <c r="N3" s="6"/>
      <c r="O3" s="2">
        <f>'13.07.2026'!I5</f>
        <v>0</v>
      </c>
      <c r="P3" s="2">
        <f>'14.07.2026'!I5</f>
        <v>0</v>
      </c>
      <c r="Q3" s="2">
        <f>'15.07.2026'!I5</f>
        <v>0</v>
      </c>
      <c r="R3" s="2">
        <f>'16.07.2026'!I5</f>
        <v>0</v>
      </c>
      <c r="S3" s="2">
        <f>'17.07.2026'!I5</f>
        <v>3</v>
      </c>
      <c r="T3" s="6">
        <f>'18.07.2026'!I5</f>
        <v>0</v>
      </c>
      <c r="U3" s="6"/>
      <c r="V3" s="2">
        <f>'20.07.2026'!I5</f>
        <v>0</v>
      </c>
      <c r="W3" s="2">
        <f>'21.07.2026'!I5</f>
        <v>2</v>
      </c>
      <c r="X3" s="2">
        <f>'22.07.2026'!I5</f>
        <v>0</v>
      </c>
      <c r="Y3" s="2">
        <f>'23.07.2026'!I5</f>
        <v>0</v>
      </c>
      <c r="Z3" s="2">
        <f>'24.07.2026'!I5</f>
        <v>0</v>
      </c>
      <c r="AA3" s="6">
        <f>'25.07.2026'!I5</f>
        <v>0</v>
      </c>
      <c r="AB3" s="6"/>
      <c r="AC3" s="2">
        <f>'27.07.2026'!I5</f>
        <v>3</v>
      </c>
      <c r="AD3" s="2">
        <f>'28.07.2026'!I5</f>
        <v>2</v>
      </c>
      <c r="AE3" s="2">
        <f>'29.07.2026'!I5</f>
        <v>0</v>
      </c>
      <c r="AF3" s="2">
        <f>'30.07.2026'!I5</f>
        <v>5</v>
      </c>
      <c r="AG3" s="58">
        <f>'31.07.2026'!I5</f>
        <v>6</v>
      </c>
      <c r="AH3"/>
      <c r="AI3" s="22">
        <f t="shared" ref="AI3:AI11" si="0">SUM(C3:AF3)</f>
        <v>70</v>
      </c>
    </row>
    <row r="4" spans="1:35" ht="17.25" customHeight="1" x14ac:dyDescent="0.25">
      <c r="A4" s="4">
        <v>2</v>
      </c>
      <c r="B4" s="1" t="s">
        <v>5</v>
      </c>
      <c r="C4" s="2">
        <f>'01.07.2026'!I6</f>
        <v>0</v>
      </c>
      <c r="D4" s="2">
        <f>'02.07.2026'!I6</f>
        <v>0</v>
      </c>
      <c r="E4" s="2">
        <f>'03.07.2026'!I6</f>
        <v>0</v>
      </c>
      <c r="F4" s="6">
        <f>'04.07.2026'!I6</f>
        <v>0</v>
      </c>
      <c r="G4" s="6"/>
      <c r="H4" s="2">
        <f>'06.07.2026'!I6</f>
        <v>0</v>
      </c>
      <c r="I4" s="2">
        <f>'07.07.2026'!I6</f>
        <v>0</v>
      </c>
      <c r="J4" s="2">
        <f>'08.07.2026'!I6</f>
        <v>0</v>
      </c>
      <c r="K4" s="2">
        <f>'09.07.2026'!I6</f>
        <v>0</v>
      </c>
      <c r="L4" s="2">
        <f>'10.07.2026'!I6</f>
        <v>0</v>
      </c>
      <c r="M4" s="6">
        <f>'11.07.2026'!I6</f>
        <v>0</v>
      </c>
      <c r="N4" s="6"/>
      <c r="O4" s="2">
        <f>'13.07.2026'!I6</f>
        <v>0</v>
      </c>
      <c r="P4" s="2">
        <f>'14.07.2026'!I6</f>
        <v>0</v>
      </c>
      <c r="Q4" s="2">
        <f>'15.07.2026'!I6</f>
        <v>0</v>
      </c>
      <c r="R4" s="2">
        <f>'16.07.2026'!I6</f>
        <v>0</v>
      </c>
      <c r="S4" s="2">
        <f>'17.07.2026'!I6</f>
        <v>0</v>
      </c>
      <c r="T4" s="6">
        <f>'18.07.2026'!I6</f>
        <v>0</v>
      </c>
      <c r="U4" s="6"/>
      <c r="V4" s="2">
        <f>'20.07.2026'!I6</f>
        <v>0</v>
      </c>
      <c r="W4" s="2">
        <f>'21.07.2026'!I6</f>
        <v>0</v>
      </c>
      <c r="X4" s="2">
        <f>'22.07.2026'!I6</f>
        <v>0</v>
      </c>
      <c r="Y4" s="2">
        <f>'23.07.2026'!I6</f>
        <v>0</v>
      </c>
      <c r="Z4" s="2">
        <f>'24.07.2026'!I6</f>
        <v>0</v>
      </c>
      <c r="AA4" s="6">
        <f>'25.07.2026'!I6</f>
        <v>0</v>
      </c>
      <c r="AB4" s="6"/>
      <c r="AC4" s="2">
        <f>'27.07.2026'!I6</f>
        <v>0</v>
      </c>
      <c r="AD4" s="2">
        <f>'28.07.2026'!I6</f>
        <v>0</v>
      </c>
      <c r="AE4" s="2">
        <f>'29.07.2026'!I6</f>
        <v>0</v>
      </c>
      <c r="AF4" s="2">
        <f>'30.07.2026'!I6</f>
        <v>0</v>
      </c>
      <c r="AG4" s="58">
        <f>'31.07.2026'!I6</f>
        <v>0</v>
      </c>
      <c r="AH4"/>
      <c r="AI4" s="22">
        <f t="shared" si="0"/>
        <v>0</v>
      </c>
    </row>
    <row r="5" spans="1:35" ht="17.25" customHeight="1" x14ac:dyDescent="0.25">
      <c r="A5" s="4">
        <v>3</v>
      </c>
      <c r="B5" s="1" t="s">
        <v>6</v>
      </c>
      <c r="C5" s="2">
        <f>'01.07.2026'!I7</f>
        <v>0</v>
      </c>
      <c r="D5" s="2">
        <f>'02.07.2026'!I7</f>
        <v>0</v>
      </c>
      <c r="E5" s="2">
        <f>'03.07.2026'!I7</f>
        <v>0</v>
      </c>
      <c r="F5" s="6">
        <f>'04.07.2026'!I7</f>
        <v>0</v>
      </c>
      <c r="G5" s="6"/>
      <c r="H5" s="2">
        <f>'06.07.2026'!I7</f>
        <v>0</v>
      </c>
      <c r="I5" s="2">
        <f>'07.07.2026'!I7</f>
        <v>0</v>
      </c>
      <c r="J5" s="2">
        <f>'08.07.2026'!I7</f>
        <v>0</v>
      </c>
      <c r="K5" s="2">
        <f>'09.07.2026'!I7</f>
        <v>0</v>
      </c>
      <c r="L5" s="2">
        <f>'10.07.2026'!I7</f>
        <v>0</v>
      </c>
      <c r="M5" s="6">
        <f>'11.07.2026'!I7</f>
        <v>0</v>
      </c>
      <c r="N5" s="6"/>
      <c r="O5" s="2">
        <f>'13.07.2026'!I7</f>
        <v>0</v>
      </c>
      <c r="P5" s="2">
        <f>'14.07.2026'!I7</f>
        <v>0</v>
      </c>
      <c r="Q5" s="2">
        <f>'15.07.2026'!I7</f>
        <v>0</v>
      </c>
      <c r="R5" s="2">
        <f>'16.07.2026'!I7</f>
        <v>0</v>
      </c>
      <c r="S5" s="2">
        <f>'17.07.2026'!I7</f>
        <v>0</v>
      </c>
      <c r="T5" s="6">
        <f>'18.07.2026'!I7</f>
        <v>0</v>
      </c>
      <c r="U5" s="6"/>
      <c r="V5" s="2">
        <f>'20.07.2026'!I7</f>
        <v>0</v>
      </c>
      <c r="W5" s="2">
        <f>'21.07.2026'!I7</f>
        <v>0</v>
      </c>
      <c r="X5" s="2">
        <f>'22.07.2026'!I7</f>
        <v>0</v>
      </c>
      <c r="Y5" s="2">
        <f>'23.07.2026'!I7</f>
        <v>0</v>
      </c>
      <c r="Z5" s="2">
        <f>'24.07.2026'!I7</f>
        <v>0</v>
      </c>
      <c r="AA5" s="6">
        <f>'25.07.2026'!I7</f>
        <v>0</v>
      </c>
      <c r="AB5" s="6"/>
      <c r="AC5" s="2">
        <f>'27.07.2026'!I7</f>
        <v>0</v>
      </c>
      <c r="AD5" s="2">
        <f>'28.07.2026'!I7</f>
        <v>0</v>
      </c>
      <c r="AE5" s="2">
        <f>'29.07.2026'!I7</f>
        <v>0</v>
      </c>
      <c r="AF5" s="2">
        <f>'30.07.2026'!I7</f>
        <v>0</v>
      </c>
      <c r="AG5" s="58">
        <f>'31.07.2026'!I7</f>
        <v>0</v>
      </c>
      <c r="AH5"/>
      <c r="AI5" s="22">
        <f t="shared" si="0"/>
        <v>0</v>
      </c>
    </row>
    <row r="6" spans="1:35" ht="17.25" customHeight="1" x14ac:dyDescent="0.25">
      <c r="A6" s="4">
        <v>4</v>
      </c>
      <c r="B6" s="1" t="s">
        <v>7</v>
      </c>
      <c r="C6" s="2">
        <f>'01.07.2026'!I8</f>
        <v>0</v>
      </c>
      <c r="D6" s="2">
        <f>'02.07.2026'!I8</f>
        <v>2</v>
      </c>
      <c r="E6" s="2">
        <f>'03.07.2026'!I8</f>
        <v>4</v>
      </c>
      <c r="F6" s="6">
        <f>'04.07.2026'!I8</f>
        <v>0</v>
      </c>
      <c r="G6" s="6"/>
      <c r="H6" s="2">
        <f>'06.07.2026'!I8</f>
        <v>0</v>
      </c>
      <c r="I6" s="2">
        <f>'07.07.2026'!I8</f>
        <v>0</v>
      </c>
      <c r="J6" s="2">
        <f>'08.07.2026'!I8</f>
        <v>0</v>
      </c>
      <c r="K6" s="2">
        <f>'09.07.2026'!I8</f>
        <v>0</v>
      </c>
      <c r="L6" s="2">
        <f>'10.07.2026'!I8</f>
        <v>0</v>
      </c>
      <c r="M6" s="6">
        <f>'11.07.2026'!I8</f>
        <v>0</v>
      </c>
      <c r="N6" s="6"/>
      <c r="O6" s="2">
        <f>'13.07.2026'!I8</f>
        <v>0</v>
      </c>
      <c r="P6" s="2">
        <f>'14.07.2026'!I8</f>
        <v>0</v>
      </c>
      <c r="Q6" s="2">
        <f>'15.07.2026'!I8</f>
        <v>0</v>
      </c>
      <c r="R6" s="2">
        <f>'16.07.2026'!I8</f>
        <v>0</v>
      </c>
      <c r="S6" s="2">
        <f>'17.07.2026'!I8</f>
        <v>0</v>
      </c>
      <c r="T6" s="6">
        <f>'18.07.2026'!I8</f>
        <v>0</v>
      </c>
      <c r="U6" s="6"/>
      <c r="V6" s="2">
        <f>'20.07.2026'!I8</f>
        <v>0</v>
      </c>
      <c r="W6" s="2">
        <f>'21.07.2026'!I8</f>
        <v>0</v>
      </c>
      <c r="X6" s="2">
        <f>'22.07.2026'!I8</f>
        <v>0</v>
      </c>
      <c r="Y6" s="2">
        <f>'23.07.2026'!I8</f>
        <v>0</v>
      </c>
      <c r="Z6" s="2">
        <f>'24.07.2026'!I8</f>
        <v>0</v>
      </c>
      <c r="AA6" s="6">
        <f>'25.07.2026'!I8</f>
        <v>0</v>
      </c>
      <c r="AB6" s="6"/>
      <c r="AC6" s="2">
        <f>'27.07.2026'!I8</f>
        <v>0</v>
      </c>
      <c r="AD6" s="2">
        <f>'28.07.2026'!I8</f>
        <v>0</v>
      </c>
      <c r="AE6" s="2">
        <f>'29.07.2026'!I8</f>
        <v>0</v>
      </c>
      <c r="AF6" s="2">
        <f>'30.07.2026'!I8</f>
        <v>0</v>
      </c>
      <c r="AG6" s="58">
        <f>'31.07.2026'!I8</f>
        <v>0</v>
      </c>
      <c r="AH6"/>
      <c r="AI6" s="22">
        <f t="shared" si="0"/>
        <v>6</v>
      </c>
    </row>
    <row r="7" spans="1:35" ht="17.25" customHeight="1" x14ac:dyDescent="0.25">
      <c r="A7" s="4">
        <v>5</v>
      </c>
      <c r="B7" s="1" t="s">
        <v>8</v>
      </c>
      <c r="C7" s="2">
        <f>'01.07.2026'!I9</f>
        <v>0</v>
      </c>
      <c r="D7" s="2">
        <f>'02.07.2026'!I9</f>
        <v>0</v>
      </c>
      <c r="E7" s="2">
        <f>'03.07.2026'!I9</f>
        <v>0</v>
      </c>
      <c r="F7" s="6">
        <f>'04.07.2026'!I9</f>
        <v>0</v>
      </c>
      <c r="G7" s="6"/>
      <c r="H7" s="2">
        <f>'06.07.2026'!I9</f>
        <v>0</v>
      </c>
      <c r="I7" s="2">
        <f>'07.07.2026'!I9</f>
        <v>0</v>
      </c>
      <c r="J7" s="2">
        <f>'08.07.2026'!I9</f>
        <v>0</v>
      </c>
      <c r="K7" s="2">
        <f>'09.07.2026'!I9</f>
        <v>0</v>
      </c>
      <c r="L7" s="2">
        <f>'10.07.2026'!I9</f>
        <v>0</v>
      </c>
      <c r="M7" s="6">
        <f>'11.07.2026'!I9</f>
        <v>0</v>
      </c>
      <c r="N7" s="6"/>
      <c r="O7" s="2">
        <f>'13.07.2026'!I9</f>
        <v>0</v>
      </c>
      <c r="P7" s="2">
        <f>'14.07.2026'!I9</f>
        <v>0</v>
      </c>
      <c r="Q7" s="2">
        <f>'15.07.2026'!I9</f>
        <v>0</v>
      </c>
      <c r="R7" s="2">
        <f>'16.07.2026'!I9</f>
        <v>0</v>
      </c>
      <c r="S7" s="2">
        <f>'17.07.2026'!I9</f>
        <v>0</v>
      </c>
      <c r="T7" s="6">
        <f>'18.07.2026'!I9</f>
        <v>0</v>
      </c>
      <c r="U7" s="6"/>
      <c r="V7" s="2">
        <f>'20.07.2026'!I9</f>
        <v>0</v>
      </c>
      <c r="W7" s="2">
        <f>'21.07.2026'!I9</f>
        <v>0</v>
      </c>
      <c r="X7" s="2">
        <f>'22.07.2026'!I9</f>
        <v>0</v>
      </c>
      <c r="Y7" s="2">
        <f>'23.07.2026'!I9</f>
        <v>0</v>
      </c>
      <c r="Z7" s="2">
        <f>'24.07.2026'!I9</f>
        <v>1</v>
      </c>
      <c r="AA7" s="6">
        <f>'25.07.2026'!I9</f>
        <v>0</v>
      </c>
      <c r="AB7" s="6"/>
      <c r="AC7" s="2">
        <f>'27.07.2026'!I9</f>
        <v>0</v>
      </c>
      <c r="AD7" s="2">
        <f>'28.07.2026'!I9</f>
        <v>0</v>
      </c>
      <c r="AE7" s="2">
        <f>'29.07.2026'!I9</f>
        <v>0</v>
      </c>
      <c r="AF7" s="2">
        <f>'30.07.2026'!I9</f>
        <v>0</v>
      </c>
      <c r="AG7" s="58">
        <f>'31.07.2026'!I9</f>
        <v>0</v>
      </c>
      <c r="AH7"/>
      <c r="AI7" s="22">
        <f t="shared" si="0"/>
        <v>1</v>
      </c>
    </row>
    <row r="8" spans="1:35" ht="17.25" customHeight="1" x14ac:dyDescent="0.25">
      <c r="A8" s="4">
        <v>6</v>
      </c>
      <c r="B8" s="1" t="s">
        <v>9</v>
      </c>
      <c r="C8" s="2">
        <f>'01.07.2026'!I10</f>
        <v>0</v>
      </c>
      <c r="D8" s="2">
        <f>'02.07.2026'!I10</f>
        <v>0</v>
      </c>
      <c r="E8" s="2">
        <f>'03.07.2026'!I10</f>
        <v>0</v>
      </c>
      <c r="F8" s="6">
        <f>'04.07.2026'!I10</f>
        <v>0</v>
      </c>
      <c r="G8" s="6"/>
      <c r="H8" s="2">
        <f>'06.07.2026'!I10</f>
        <v>0</v>
      </c>
      <c r="I8" s="2">
        <f>'07.07.2026'!I10</f>
        <v>0</v>
      </c>
      <c r="J8" s="2">
        <f>'08.07.2026'!I10</f>
        <v>0</v>
      </c>
      <c r="K8" s="2">
        <f>'09.07.2026'!I10</f>
        <v>0</v>
      </c>
      <c r="L8" s="2">
        <f>'10.07.2026'!I10</f>
        <v>0</v>
      </c>
      <c r="M8" s="6">
        <f>'11.07.2026'!I10</f>
        <v>0</v>
      </c>
      <c r="N8" s="6"/>
      <c r="O8" s="2">
        <f>'13.07.2026'!I10</f>
        <v>0</v>
      </c>
      <c r="P8" s="2">
        <f>'14.07.2026'!I10</f>
        <v>0</v>
      </c>
      <c r="Q8" s="2">
        <f>'15.07.2026'!I10</f>
        <v>0</v>
      </c>
      <c r="R8" s="2">
        <f>'16.07.2026'!I10</f>
        <v>0</v>
      </c>
      <c r="S8" s="2">
        <f>'17.07.2026'!I10</f>
        <v>0</v>
      </c>
      <c r="T8" s="6">
        <f>'18.07.2026'!I10</f>
        <v>0</v>
      </c>
      <c r="U8" s="6"/>
      <c r="V8" s="2">
        <f>'20.07.2026'!I10</f>
        <v>0</v>
      </c>
      <c r="W8" s="2">
        <f>'21.07.2026'!I10</f>
        <v>0</v>
      </c>
      <c r="X8" s="2">
        <f>'22.07.2026'!I10</f>
        <v>0</v>
      </c>
      <c r="Y8" s="2">
        <f>'23.07.2026'!I10</f>
        <v>0</v>
      </c>
      <c r="Z8" s="2">
        <f>'24.07.2026'!I10</f>
        <v>0</v>
      </c>
      <c r="AA8" s="6">
        <f>'25.07.2026'!I10</f>
        <v>0</v>
      </c>
      <c r="AB8" s="6"/>
      <c r="AC8" s="2">
        <f>'27.07.2026'!I10</f>
        <v>0</v>
      </c>
      <c r="AD8" s="2">
        <f>'28.07.2026'!I10</f>
        <v>0</v>
      </c>
      <c r="AE8" s="2">
        <f>'29.07.2026'!I10</f>
        <v>0</v>
      </c>
      <c r="AF8" s="2">
        <f>'30.07.2026'!I10</f>
        <v>0</v>
      </c>
      <c r="AG8" s="58">
        <f>'31.07.2026'!I10</f>
        <v>0</v>
      </c>
      <c r="AH8"/>
      <c r="AI8" s="22">
        <f t="shared" si="0"/>
        <v>0</v>
      </c>
    </row>
    <row r="9" spans="1:35" ht="17.25" customHeight="1" x14ac:dyDescent="0.25">
      <c r="A9" s="4">
        <v>7</v>
      </c>
      <c r="B9" s="1" t="s">
        <v>10</v>
      </c>
      <c r="C9" s="2">
        <f>'01.07.2026'!I11</f>
        <v>0</v>
      </c>
      <c r="D9" s="2">
        <f>'02.07.2026'!I11</f>
        <v>0</v>
      </c>
      <c r="E9" s="2">
        <f>'03.07.2026'!I11</f>
        <v>0</v>
      </c>
      <c r="F9" s="6">
        <f>'04.07.2026'!I11</f>
        <v>0</v>
      </c>
      <c r="G9" s="6"/>
      <c r="H9" s="2">
        <f>'06.07.2026'!I11</f>
        <v>0</v>
      </c>
      <c r="I9" s="2">
        <f>'07.07.2026'!I11</f>
        <v>0</v>
      </c>
      <c r="J9" s="2">
        <f>'08.07.2026'!I11</f>
        <v>0</v>
      </c>
      <c r="K9" s="2">
        <f>'09.07.2026'!I11</f>
        <v>0</v>
      </c>
      <c r="L9" s="2">
        <f>'10.07.2026'!I11</f>
        <v>0</v>
      </c>
      <c r="M9" s="6">
        <f>'11.07.2026'!I11</f>
        <v>0</v>
      </c>
      <c r="N9" s="6"/>
      <c r="O9" s="2">
        <f>'13.07.2026'!I11</f>
        <v>0</v>
      </c>
      <c r="P9" s="2">
        <f>'14.07.2026'!I11</f>
        <v>0</v>
      </c>
      <c r="Q9" s="2">
        <f>'15.07.2026'!I11</f>
        <v>0</v>
      </c>
      <c r="R9" s="2">
        <f>'16.07.2026'!I11</f>
        <v>0</v>
      </c>
      <c r="S9" s="2">
        <f>'17.07.2026'!I11</f>
        <v>0</v>
      </c>
      <c r="T9" s="6">
        <f>'18.07.2026'!I11</f>
        <v>0</v>
      </c>
      <c r="U9" s="6"/>
      <c r="V9" s="2">
        <f>'20.07.2026'!I11</f>
        <v>0</v>
      </c>
      <c r="W9" s="2">
        <f>'21.07.2026'!I11</f>
        <v>0</v>
      </c>
      <c r="X9" s="2">
        <f>'22.07.2026'!I11</f>
        <v>0</v>
      </c>
      <c r="Y9" s="2">
        <f>'23.07.2026'!I11</f>
        <v>0</v>
      </c>
      <c r="Z9" s="2">
        <f>'24.07.2026'!I11</f>
        <v>0</v>
      </c>
      <c r="AA9" s="6">
        <f>'25.07.2026'!I11</f>
        <v>0</v>
      </c>
      <c r="AB9" s="6"/>
      <c r="AC9" s="2">
        <f>'27.07.2026'!I11</f>
        <v>0</v>
      </c>
      <c r="AD9" s="2">
        <f>'28.07.2026'!I11</f>
        <v>2</v>
      </c>
      <c r="AE9" s="2">
        <f>'29.07.2026'!I11</f>
        <v>0</v>
      </c>
      <c r="AF9" s="2">
        <f>'30.07.2026'!I11</f>
        <v>0</v>
      </c>
      <c r="AG9" s="58">
        <f>'31.07.2026'!I11</f>
        <v>0</v>
      </c>
      <c r="AH9"/>
      <c r="AI9" s="22">
        <f t="shared" si="0"/>
        <v>2</v>
      </c>
    </row>
    <row r="10" spans="1:35" ht="17.25" customHeight="1" x14ac:dyDescent="0.25">
      <c r="A10" s="4">
        <v>8</v>
      </c>
      <c r="B10" s="1" t="s">
        <v>11</v>
      </c>
      <c r="C10" s="2">
        <f>'01.07.2026'!I12</f>
        <v>0</v>
      </c>
      <c r="D10" s="2">
        <f>'02.07.2026'!I12</f>
        <v>0</v>
      </c>
      <c r="E10" s="2">
        <f>'03.07.2026'!I12</f>
        <v>0</v>
      </c>
      <c r="F10" s="6">
        <f>'04.07.2026'!I12</f>
        <v>0</v>
      </c>
      <c r="G10" s="6"/>
      <c r="H10" s="2">
        <f>'06.07.2026'!I12</f>
        <v>0</v>
      </c>
      <c r="I10" s="2">
        <f>'07.07.2026'!I12</f>
        <v>0</v>
      </c>
      <c r="J10" s="2">
        <f>'08.07.2026'!I12</f>
        <v>0</v>
      </c>
      <c r="K10" s="2">
        <f>'09.07.2026'!I12</f>
        <v>0</v>
      </c>
      <c r="L10" s="2">
        <f>'10.07.2026'!I12</f>
        <v>0</v>
      </c>
      <c r="M10" s="6">
        <f>'11.07.2026'!I12</f>
        <v>0</v>
      </c>
      <c r="N10" s="6"/>
      <c r="O10" s="2">
        <f>'13.07.2026'!I12</f>
        <v>0</v>
      </c>
      <c r="P10" s="2">
        <f>'14.07.2026'!I12</f>
        <v>0</v>
      </c>
      <c r="Q10" s="2">
        <f>'15.07.2026'!I12</f>
        <v>0</v>
      </c>
      <c r="R10" s="2">
        <f>'16.07.2026'!I12</f>
        <v>0</v>
      </c>
      <c r="S10" s="2">
        <f>'17.07.2026'!I12</f>
        <v>0</v>
      </c>
      <c r="T10" s="6">
        <f>'18.07.2026'!I12</f>
        <v>0</v>
      </c>
      <c r="U10" s="6"/>
      <c r="V10" s="2">
        <f>'20.07.2026'!I12</f>
        <v>0</v>
      </c>
      <c r="W10" s="2">
        <f>'21.07.2026'!I12</f>
        <v>2</v>
      </c>
      <c r="X10" s="2">
        <f>'22.07.2026'!I12</f>
        <v>0</v>
      </c>
      <c r="Y10" s="2">
        <f>'23.07.2026'!I12</f>
        <v>4</v>
      </c>
      <c r="Z10" s="2">
        <f>'24.07.2026'!I12</f>
        <v>0</v>
      </c>
      <c r="AA10" s="6">
        <f>'25.07.2026'!I12</f>
        <v>0</v>
      </c>
      <c r="AB10" s="6"/>
      <c r="AC10" s="2">
        <f>'27.07.2026'!I12</f>
        <v>0</v>
      </c>
      <c r="AD10" s="2">
        <f>'28.07.2026'!I12</f>
        <v>0</v>
      </c>
      <c r="AE10" s="2">
        <f>'29.07.2026'!I12</f>
        <v>2</v>
      </c>
      <c r="AF10" s="2">
        <f>'30.07.2026'!I12</f>
        <v>1</v>
      </c>
      <c r="AG10" s="58">
        <f>'31.07.2026'!I12</f>
        <v>0</v>
      </c>
      <c r="AH10"/>
      <c r="AI10" s="22">
        <f t="shared" si="0"/>
        <v>9</v>
      </c>
    </row>
    <row r="11" spans="1:35" ht="17.25" customHeight="1" thickBot="1" x14ac:dyDescent="0.3">
      <c r="A11" s="13">
        <v>9</v>
      </c>
      <c r="B11" s="10" t="s">
        <v>12</v>
      </c>
      <c r="C11" s="2">
        <f>'01.07.2026'!I13</f>
        <v>0</v>
      </c>
      <c r="D11" s="2">
        <f>'02.07.2026'!I13</f>
        <v>0</v>
      </c>
      <c r="E11" s="2">
        <f>'03.07.2026'!I13</f>
        <v>0</v>
      </c>
      <c r="F11" s="6">
        <f>'04.07.2026'!I13</f>
        <v>0</v>
      </c>
      <c r="G11" s="6"/>
      <c r="H11" s="2">
        <f>'06.07.2026'!I13</f>
        <v>0</v>
      </c>
      <c r="I11" s="2">
        <f>'07.07.2026'!I13</f>
        <v>0</v>
      </c>
      <c r="J11" s="2">
        <f>'08.07.2026'!I13</f>
        <v>0</v>
      </c>
      <c r="K11" s="2">
        <f>'09.07.2026'!I13</f>
        <v>0</v>
      </c>
      <c r="L11" s="2">
        <f>'10.07.2026'!I13</f>
        <v>0</v>
      </c>
      <c r="M11" s="6">
        <f>'11.07.2026'!I13</f>
        <v>0</v>
      </c>
      <c r="N11" s="6"/>
      <c r="O11" s="2">
        <f>'13.07.2026'!I13</f>
        <v>0</v>
      </c>
      <c r="P11" s="2">
        <f>'14.07.2026'!I13</f>
        <v>0</v>
      </c>
      <c r="Q11" s="2">
        <f>'15.07.2026'!I13</f>
        <v>0</v>
      </c>
      <c r="R11" s="2">
        <f>'16.07.2026'!I13</f>
        <v>0</v>
      </c>
      <c r="S11" s="2">
        <f>'17.07.2026'!I13</f>
        <v>0</v>
      </c>
      <c r="T11" s="6">
        <f>'18.07.2026'!I13</f>
        <v>0</v>
      </c>
      <c r="U11" s="6"/>
      <c r="V11" s="2">
        <f>'20.07.2026'!I13</f>
        <v>0</v>
      </c>
      <c r="W11" s="2">
        <f>'21.07.2026'!I13</f>
        <v>0</v>
      </c>
      <c r="X11" s="2">
        <f>'22.07.2026'!I13</f>
        <v>0</v>
      </c>
      <c r="Y11" s="2">
        <f>'23.07.2026'!I13</f>
        <v>0</v>
      </c>
      <c r="Z11" s="2">
        <f>'24.07.2026'!I13</f>
        <v>0</v>
      </c>
      <c r="AA11" s="6">
        <f>'25.07.2026'!I13</f>
        <v>0</v>
      </c>
      <c r="AB11" s="6"/>
      <c r="AC11" s="2">
        <f>'27.07.2026'!I13</f>
        <v>0</v>
      </c>
      <c r="AD11" s="2">
        <f>'28.07.2026'!I13</f>
        <v>0</v>
      </c>
      <c r="AE11" s="2">
        <f>'29.07.2026'!I13</f>
        <v>0</v>
      </c>
      <c r="AF11" s="2">
        <f>'30.07.2026'!I13</f>
        <v>0</v>
      </c>
      <c r="AG11" s="58">
        <f>'31.07.2026'!I13</f>
        <v>0</v>
      </c>
      <c r="AH11"/>
      <c r="AI11" s="22">
        <f t="shared" si="0"/>
        <v>0</v>
      </c>
    </row>
    <row r="12" spans="1:35" ht="20.100000000000001" customHeight="1" thickBot="1" x14ac:dyDescent="0.3">
      <c r="A12" s="68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/>
      <c r="AI12" s="176"/>
    </row>
    <row r="13" spans="1:35" ht="17.25" customHeight="1" x14ac:dyDescent="0.25">
      <c r="A13" s="3"/>
      <c r="B13" s="21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79"/>
      <c r="AH13"/>
      <c r="AI13" s="177"/>
    </row>
    <row r="14" spans="1:35" ht="17.25" customHeight="1" x14ac:dyDescent="0.25">
      <c r="A14" s="4">
        <v>1</v>
      </c>
      <c r="B14" s="1" t="s">
        <v>14</v>
      </c>
      <c r="C14" s="2">
        <f>'01.07.2026'!I16</f>
        <v>0</v>
      </c>
      <c r="D14" s="2">
        <f>'02.07.2026'!I16</f>
        <v>1</v>
      </c>
      <c r="E14" s="2">
        <f>'03.07.2026'!I16</f>
        <v>2</v>
      </c>
      <c r="F14" s="6">
        <f>'04.07.2026'!I16</f>
        <v>3</v>
      </c>
      <c r="G14" s="6"/>
      <c r="H14" s="2">
        <f>'06.07.2026'!I16</f>
        <v>1</v>
      </c>
      <c r="I14" s="2">
        <f>'07.07.2026'!I16</f>
        <v>2</v>
      </c>
      <c r="J14" s="2">
        <f>'08.07.2026'!I16</f>
        <v>6</v>
      </c>
      <c r="K14" s="2">
        <f>'09.07.2026'!I16</f>
        <v>2</v>
      </c>
      <c r="L14" s="2">
        <f>'10.07.2026'!I16</f>
        <v>8</v>
      </c>
      <c r="M14" s="6">
        <f>'11.07.2026'!I16</f>
        <v>0</v>
      </c>
      <c r="N14" s="6"/>
      <c r="O14" s="2">
        <f>'13.07.2026'!I16</f>
        <v>8</v>
      </c>
      <c r="P14" s="2">
        <f>'14.07.2026'!I16</f>
        <v>9</v>
      </c>
      <c r="Q14" s="2">
        <f>'15.07.2026'!I16</f>
        <v>9</v>
      </c>
      <c r="R14" s="2">
        <f>'16.07.2026'!I16</f>
        <v>9</v>
      </c>
      <c r="S14" s="2">
        <f>'17.07.2026'!I16</f>
        <v>4</v>
      </c>
      <c r="T14" s="6">
        <f>'18.07.2026'!I16</f>
        <v>0</v>
      </c>
      <c r="U14" s="6"/>
      <c r="V14" s="2">
        <f>'20.07.2026'!I16</f>
        <v>6</v>
      </c>
      <c r="W14" s="2">
        <f>'21.07.2026'!I16</f>
        <v>3</v>
      </c>
      <c r="X14" s="2">
        <f>'22.07.2026'!I16</f>
        <v>0</v>
      </c>
      <c r="Y14" s="2">
        <f>'23.07.2026'!I16</f>
        <v>2</v>
      </c>
      <c r="Z14" s="2">
        <f>'24.07.2026'!I16</f>
        <v>3</v>
      </c>
      <c r="AA14" s="6">
        <f>'25.07.2026'!I16</f>
        <v>0</v>
      </c>
      <c r="AB14" s="6"/>
      <c r="AC14" s="2">
        <f>'27.07.2026'!I16</f>
        <v>7</v>
      </c>
      <c r="AD14" s="2">
        <f>'28.07.2026'!I16</f>
        <v>8</v>
      </c>
      <c r="AE14" s="2">
        <f>'29.07.2026'!I16</f>
        <v>10</v>
      </c>
      <c r="AF14" s="2">
        <f>'30.07.2026'!I16</f>
        <v>6</v>
      </c>
      <c r="AG14" s="58">
        <f>'31.07.2026'!I16</f>
        <v>6</v>
      </c>
      <c r="AH14"/>
      <c r="AI14" s="22">
        <f t="shared" ref="AI14:AI24" si="1">SUM(C14:AF14)</f>
        <v>109</v>
      </c>
    </row>
    <row r="15" spans="1:35" ht="17.25" customHeight="1" x14ac:dyDescent="0.25">
      <c r="A15" s="4">
        <v>2</v>
      </c>
      <c r="B15" s="1" t="s">
        <v>15</v>
      </c>
      <c r="C15" s="2">
        <f>'01.07.2026'!I17</f>
        <v>0</v>
      </c>
      <c r="D15" s="2">
        <f>'02.07.2026'!I17</f>
        <v>0</v>
      </c>
      <c r="E15" s="2">
        <f>'03.07.2026'!I17</f>
        <v>0</v>
      </c>
      <c r="F15" s="6">
        <f>'04.07.2026'!I17</f>
        <v>0</v>
      </c>
      <c r="G15" s="6"/>
      <c r="H15" s="2">
        <f>'06.07.2026'!I17</f>
        <v>0</v>
      </c>
      <c r="I15" s="2">
        <f>'07.07.2026'!I17</f>
        <v>0</v>
      </c>
      <c r="J15" s="2">
        <f>'08.07.2026'!I17</f>
        <v>0</v>
      </c>
      <c r="K15" s="2">
        <f>'09.07.2026'!I17</f>
        <v>0</v>
      </c>
      <c r="L15" s="2">
        <f>'10.07.2026'!I17</f>
        <v>0</v>
      </c>
      <c r="M15" s="6">
        <f>'11.07.2026'!I17</f>
        <v>0</v>
      </c>
      <c r="N15" s="6"/>
      <c r="O15" s="2">
        <f>'13.07.2026'!I17</f>
        <v>0</v>
      </c>
      <c r="P15" s="2">
        <f>'14.07.2026'!I17</f>
        <v>0</v>
      </c>
      <c r="Q15" s="2">
        <f>'15.07.2026'!I17</f>
        <v>0</v>
      </c>
      <c r="R15" s="2">
        <f>'16.07.2026'!I17</f>
        <v>0</v>
      </c>
      <c r="S15" s="2">
        <f>'17.07.2026'!I17</f>
        <v>0</v>
      </c>
      <c r="T15" s="6">
        <f>'18.07.2026'!I17</f>
        <v>0</v>
      </c>
      <c r="U15" s="6"/>
      <c r="V15" s="2">
        <f>'20.07.2026'!I17</f>
        <v>0</v>
      </c>
      <c r="W15" s="2">
        <f>'21.07.2026'!I17</f>
        <v>0</v>
      </c>
      <c r="X15" s="2">
        <f>'22.07.2026'!I17</f>
        <v>0</v>
      </c>
      <c r="Y15" s="2">
        <f>'23.07.2026'!I17</f>
        <v>0</v>
      </c>
      <c r="Z15" s="2">
        <f>'24.07.2026'!I17</f>
        <v>0</v>
      </c>
      <c r="AA15" s="6">
        <f>'25.07.2026'!I17</f>
        <v>0</v>
      </c>
      <c r="AB15" s="6"/>
      <c r="AC15" s="2">
        <f>'27.07.2026'!I17</f>
        <v>0</v>
      </c>
      <c r="AD15" s="2">
        <f>'28.07.2026'!I17</f>
        <v>0</v>
      </c>
      <c r="AE15" s="2">
        <f>'29.07.2026'!I17</f>
        <v>0</v>
      </c>
      <c r="AF15" s="2">
        <f>'30.07.2026'!I17</f>
        <v>0</v>
      </c>
      <c r="AG15" s="58">
        <f>'31.07.2026'!I17</f>
        <v>0</v>
      </c>
      <c r="AH15"/>
      <c r="AI15" s="22">
        <f t="shared" si="1"/>
        <v>0</v>
      </c>
    </row>
    <row r="16" spans="1:35" ht="17.25" customHeight="1" x14ac:dyDescent="0.25">
      <c r="A16" s="4">
        <v>3</v>
      </c>
      <c r="B16" s="1" t="s">
        <v>16</v>
      </c>
      <c r="C16" s="2">
        <f>'01.07.2026'!I18</f>
        <v>0</v>
      </c>
      <c r="D16" s="2">
        <f>'02.07.2026'!I18</f>
        <v>0</v>
      </c>
      <c r="E16" s="2">
        <f>'03.07.2026'!I18</f>
        <v>1</v>
      </c>
      <c r="F16" s="6">
        <f>'04.07.2026'!I18</f>
        <v>1</v>
      </c>
      <c r="G16" s="6"/>
      <c r="H16" s="2">
        <f>'06.07.2026'!I18</f>
        <v>0</v>
      </c>
      <c r="I16" s="2">
        <f>'07.07.2026'!I18</f>
        <v>0</v>
      </c>
      <c r="J16" s="2">
        <f>'08.07.2026'!I18</f>
        <v>0</v>
      </c>
      <c r="K16" s="2">
        <f>'09.07.2026'!I18</f>
        <v>0</v>
      </c>
      <c r="L16" s="2">
        <f>'10.07.2026'!I18</f>
        <v>3</v>
      </c>
      <c r="M16" s="6">
        <f>'11.07.2026'!I18</f>
        <v>0</v>
      </c>
      <c r="N16" s="6"/>
      <c r="O16" s="2">
        <f>'13.07.2026'!I18</f>
        <v>0</v>
      </c>
      <c r="P16" s="2">
        <f>'14.07.2026'!I18</f>
        <v>0</v>
      </c>
      <c r="Q16" s="2">
        <f>'15.07.2026'!I18</f>
        <v>0</v>
      </c>
      <c r="R16" s="2">
        <f>'16.07.2026'!I18</f>
        <v>0</v>
      </c>
      <c r="S16" s="2">
        <f>'17.07.2026'!I18</f>
        <v>0</v>
      </c>
      <c r="T16" s="6">
        <f>'18.07.2026'!I18</f>
        <v>0</v>
      </c>
      <c r="U16" s="6"/>
      <c r="V16" s="2">
        <f>'20.07.2026'!I18</f>
        <v>0</v>
      </c>
      <c r="W16" s="2">
        <f>'21.07.2026'!I18</f>
        <v>0</v>
      </c>
      <c r="X16" s="2">
        <f>'22.07.2026'!I18</f>
        <v>0</v>
      </c>
      <c r="Y16" s="2">
        <f>'23.07.2026'!I18</f>
        <v>0</v>
      </c>
      <c r="Z16" s="2">
        <f>'24.07.2026'!I18</f>
        <v>0</v>
      </c>
      <c r="AA16" s="6">
        <f>'25.07.2026'!I18</f>
        <v>0</v>
      </c>
      <c r="AB16" s="6"/>
      <c r="AC16" s="2">
        <f>'27.07.2026'!I18</f>
        <v>1</v>
      </c>
      <c r="AD16" s="2">
        <f>'28.07.2026'!I18</f>
        <v>1</v>
      </c>
      <c r="AE16" s="2">
        <f>'29.07.2026'!I18</f>
        <v>0</v>
      </c>
      <c r="AF16" s="2">
        <f>'30.07.2026'!I18</f>
        <v>1</v>
      </c>
      <c r="AG16" s="58">
        <f>'31.07.2026'!I18</f>
        <v>0</v>
      </c>
      <c r="AH16"/>
      <c r="AI16" s="22">
        <f t="shared" si="1"/>
        <v>8</v>
      </c>
    </row>
    <row r="17" spans="1:35" ht="17.25" customHeight="1" x14ac:dyDescent="0.25">
      <c r="A17" s="4">
        <v>4</v>
      </c>
      <c r="B17" s="1" t="s">
        <v>17</v>
      </c>
      <c r="C17" s="2">
        <f>'01.07.2026'!I19</f>
        <v>0</v>
      </c>
      <c r="D17" s="2">
        <f>'02.07.2026'!I19</f>
        <v>0</v>
      </c>
      <c r="E17" s="2">
        <f>'03.07.2026'!I19</f>
        <v>0</v>
      </c>
      <c r="F17" s="6">
        <f>'04.07.2026'!I19</f>
        <v>0</v>
      </c>
      <c r="G17" s="6"/>
      <c r="H17" s="2">
        <f>'06.07.2026'!I19</f>
        <v>0</v>
      </c>
      <c r="I17" s="2">
        <f>'07.07.2026'!I19</f>
        <v>1</v>
      </c>
      <c r="J17" s="2">
        <f>'08.07.2026'!I19</f>
        <v>0</v>
      </c>
      <c r="K17" s="2">
        <f>'09.07.2026'!I19</f>
        <v>0</v>
      </c>
      <c r="L17" s="2">
        <f>'10.07.2026'!I19</f>
        <v>0</v>
      </c>
      <c r="M17" s="6">
        <f>'11.07.2026'!I19</f>
        <v>0</v>
      </c>
      <c r="N17" s="6"/>
      <c r="O17" s="2">
        <f>'13.07.2026'!I19</f>
        <v>0</v>
      </c>
      <c r="P17" s="2">
        <f>'14.07.2026'!I19</f>
        <v>0</v>
      </c>
      <c r="Q17" s="2">
        <f>'15.07.2026'!I19</f>
        <v>0</v>
      </c>
      <c r="R17" s="2">
        <f>'16.07.2026'!I19</f>
        <v>0</v>
      </c>
      <c r="S17" s="2">
        <f>'17.07.2026'!I19</f>
        <v>0</v>
      </c>
      <c r="T17" s="6">
        <f>'18.07.2026'!I19</f>
        <v>0</v>
      </c>
      <c r="U17" s="6"/>
      <c r="V17" s="2">
        <f>'20.07.2026'!I19</f>
        <v>0</v>
      </c>
      <c r="W17" s="2">
        <f>'21.07.2026'!I19</f>
        <v>0</v>
      </c>
      <c r="X17" s="2">
        <f>'22.07.2026'!I19</f>
        <v>0</v>
      </c>
      <c r="Y17" s="2">
        <f>'23.07.2026'!I19</f>
        <v>1</v>
      </c>
      <c r="Z17" s="2">
        <f>'24.07.2026'!I19</f>
        <v>0</v>
      </c>
      <c r="AA17" s="6">
        <f>'25.07.2026'!I19</f>
        <v>0</v>
      </c>
      <c r="AB17" s="6"/>
      <c r="AC17" s="2">
        <f>'27.07.2026'!I19</f>
        <v>0</v>
      </c>
      <c r="AD17" s="2">
        <f>'28.07.2026'!I19</f>
        <v>0</v>
      </c>
      <c r="AE17" s="2">
        <f>'29.07.2026'!I19</f>
        <v>0</v>
      </c>
      <c r="AF17" s="2">
        <f>'30.07.2026'!I19</f>
        <v>0</v>
      </c>
      <c r="AG17" s="58">
        <f>'31.07.2026'!I19</f>
        <v>0</v>
      </c>
      <c r="AH17"/>
      <c r="AI17" s="22">
        <f t="shared" si="1"/>
        <v>2</v>
      </c>
    </row>
    <row r="18" spans="1:35" ht="17.25" customHeight="1" x14ac:dyDescent="0.25">
      <c r="A18" s="4">
        <v>5</v>
      </c>
      <c r="B18" s="1" t="s">
        <v>10</v>
      </c>
      <c r="C18" s="2">
        <f>'01.07.2026'!I20</f>
        <v>0</v>
      </c>
      <c r="D18" s="2">
        <f>'02.07.2026'!I20</f>
        <v>0</v>
      </c>
      <c r="E18" s="2">
        <f>'03.07.2026'!I20</f>
        <v>0</v>
      </c>
      <c r="F18" s="6">
        <f>'04.07.2026'!I20</f>
        <v>0</v>
      </c>
      <c r="G18" s="6"/>
      <c r="H18" s="2">
        <f>'06.07.2026'!I20</f>
        <v>0</v>
      </c>
      <c r="I18" s="2">
        <f>'07.07.2026'!I20</f>
        <v>0</v>
      </c>
      <c r="J18" s="2">
        <f>'08.07.2026'!I20</f>
        <v>0</v>
      </c>
      <c r="K18" s="2">
        <f>'09.07.2026'!I20</f>
        <v>0</v>
      </c>
      <c r="L18" s="2">
        <f>'10.07.2026'!I20</f>
        <v>0</v>
      </c>
      <c r="M18" s="6">
        <f>'11.07.2026'!I20</f>
        <v>0</v>
      </c>
      <c r="N18" s="6"/>
      <c r="O18" s="2">
        <f>'13.07.2026'!I20</f>
        <v>0</v>
      </c>
      <c r="P18" s="2">
        <f>'14.07.2026'!I20</f>
        <v>0</v>
      </c>
      <c r="Q18" s="2">
        <f>'15.07.2026'!I20</f>
        <v>0</v>
      </c>
      <c r="R18" s="2">
        <f>'16.07.2026'!I20</f>
        <v>0</v>
      </c>
      <c r="S18" s="2">
        <f>'17.07.2026'!I20</f>
        <v>0</v>
      </c>
      <c r="T18" s="6">
        <f>'18.07.2026'!I20</f>
        <v>0</v>
      </c>
      <c r="U18" s="6"/>
      <c r="V18" s="2">
        <f>'20.07.2026'!I20</f>
        <v>0</v>
      </c>
      <c r="W18" s="2">
        <f>'21.07.2026'!I20</f>
        <v>0</v>
      </c>
      <c r="X18" s="2">
        <f>'22.07.2026'!I20</f>
        <v>0</v>
      </c>
      <c r="Y18" s="2">
        <f>'23.07.2026'!I20</f>
        <v>0</v>
      </c>
      <c r="Z18" s="2">
        <f>'24.07.2026'!I20</f>
        <v>0</v>
      </c>
      <c r="AA18" s="6">
        <f>'25.07.2026'!I20</f>
        <v>0</v>
      </c>
      <c r="AB18" s="6"/>
      <c r="AC18" s="2">
        <f>'27.07.2026'!I20</f>
        <v>0</v>
      </c>
      <c r="AD18" s="2">
        <f>'28.07.2026'!I20</f>
        <v>0</v>
      </c>
      <c r="AE18" s="2">
        <f>'29.07.2026'!I20</f>
        <v>0</v>
      </c>
      <c r="AF18" s="2">
        <f>'30.07.2026'!I20</f>
        <v>0</v>
      </c>
      <c r="AG18" s="58">
        <f>'31.07.2026'!I20</f>
        <v>0</v>
      </c>
      <c r="AH18"/>
      <c r="AI18" s="22">
        <f t="shared" si="1"/>
        <v>0</v>
      </c>
    </row>
    <row r="19" spans="1:35" ht="17.25" customHeight="1" x14ac:dyDescent="0.25">
      <c r="A19" s="4">
        <v>6</v>
      </c>
      <c r="B19" s="1" t="s">
        <v>18</v>
      </c>
      <c r="C19" s="2">
        <f>'01.07.2026'!I21</f>
        <v>4</v>
      </c>
      <c r="D19" s="2">
        <f>'02.07.2026'!I21</f>
        <v>0</v>
      </c>
      <c r="E19" s="2">
        <f>'03.07.2026'!I21</f>
        <v>0</v>
      </c>
      <c r="F19" s="6">
        <f>'04.07.2026'!I21</f>
        <v>0</v>
      </c>
      <c r="G19" s="6"/>
      <c r="H19" s="2">
        <f>'06.07.2026'!I21</f>
        <v>0</v>
      </c>
      <c r="I19" s="2">
        <f>'07.07.2026'!I21</f>
        <v>0</v>
      </c>
      <c r="J19" s="2">
        <f>'08.07.2026'!I21</f>
        <v>0</v>
      </c>
      <c r="K19" s="2">
        <f>'09.07.2026'!I21</f>
        <v>0</v>
      </c>
      <c r="L19" s="2">
        <f>'10.07.2026'!I21</f>
        <v>0</v>
      </c>
      <c r="M19" s="6">
        <f>'11.07.2026'!I21</f>
        <v>0</v>
      </c>
      <c r="N19" s="6"/>
      <c r="O19" s="2">
        <f>'13.07.2026'!I21</f>
        <v>0</v>
      </c>
      <c r="P19" s="2">
        <f>'14.07.2026'!I21</f>
        <v>0</v>
      </c>
      <c r="Q19" s="2">
        <f>'15.07.2026'!I21</f>
        <v>0</v>
      </c>
      <c r="R19" s="2">
        <f>'16.07.2026'!I21</f>
        <v>0</v>
      </c>
      <c r="S19" s="2">
        <f>'17.07.2026'!I21</f>
        <v>0</v>
      </c>
      <c r="T19" s="6">
        <f>'18.07.2026'!I21</f>
        <v>0</v>
      </c>
      <c r="U19" s="6"/>
      <c r="V19" s="2">
        <f>'20.07.2026'!I21</f>
        <v>0</v>
      </c>
      <c r="W19" s="2">
        <f>'21.07.2026'!I21</f>
        <v>0</v>
      </c>
      <c r="X19" s="2">
        <f>'22.07.2026'!I21</f>
        <v>0</v>
      </c>
      <c r="Y19" s="2">
        <f>'23.07.2026'!I21</f>
        <v>0</v>
      </c>
      <c r="Z19" s="2">
        <f>'24.07.2026'!I21</f>
        <v>1</v>
      </c>
      <c r="AA19" s="6">
        <f>'25.07.2026'!I21</f>
        <v>0</v>
      </c>
      <c r="AB19" s="6"/>
      <c r="AC19" s="2">
        <f>'27.07.2026'!I21</f>
        <v>0</v>
      </c>
      <c r="AD19" s="2">
        <f>'28.07.2026'!I21</f>
        <v>0</v>
      </c>
      <c r="AE19" s="2">
        <f>'29.07.2026'!I21</f>
        <v>0</v>
      </c>
      <c r="AF19" s="2">
        <f>'30.07.2026'!I21</f>
        <v>0</v>
      </c>
      <c r="AG19" s="58">
        <f>'31.07.2026'!I21</f>
        <v>0</v>
      </c>
      <c r="AH19"/>
      <c r="AI19" s="22">
        <f t="shared" si="1"/>
        <v>5</v>
      </c>
    </row>
    <row r="20" spans="1:35" ht="17.25" customHeight="1" x14ac:dyDescent="0.25">
      <c r="A20" s="4">
        <v>7</v>
      </c>
      <c r="B20" s="17" t="s">
        <v>19</v>
      </c>
      <c r="C20" s="2">
        <f>'01.07.2026'!I22</f>
        <v>0</v>
      </c>
      <c r="D20" s="2">
        <f>'02.07.2026'!I22</f>
        <v>0</v>
      </c>
      <c r="E20" s="2">
        <f>'03.07.2026'!I22</f>
        <v>0</v>
      </c>
      <c r="F20" s="6">
        <f>'04.07.2026'!I22</f>
        <v>0</v>
      </c>
      <c r="G20" s="6"/>
      <c r="H20" s="2">
        <f>'06.07.2026'!I22</f>
        <v>0</v>
      </c>
      <c r="I20" s="2">
        <f>'07.07.2026'!I22</f>
        <v>0</v>
      </c>
      <c r="J20" s="2">
        <f>'08.07.2026'!I22</f>
        <v>0</v>
      </c>
      <c r="K20" s="2">
        <f>'09.07.2026'!I22</f>
        <v>0</v>
      </c>
      <c r="L20" s="2">
        <f>'10.07.2026'!I22</f>
        <v>0</v>
      </c>
      <c r="M20" s="6">
        <f>'11.07.2026'!I22</f>
        <v>0</v>
      </c>
      <c r="N20" s="6"/>
      <c r="O20" s="2">
        <f>'13.07.2026'!I22</f>
        <v>0</v>
      </c>
      <c r="P20" s="2">
        <f>'14.07.2026'!I22</f>
        <v>0</v>
      </c>
      <c r="Q20" s="2">
        <f>'15.07.2026'!I22</f>
        <v>0</v>
      </c>
      <c r="R20" s="2">
        <f>'16.07.2026'!I22</f>
        <v>0</v>
      </c>
      <c r="S20" s="2">
        <f>'17.07.2026'!I22</f>
        <v>0</v>
      </c>
      <c r="T20" s="6">
        <f>'18.07.2026'!I22</f>
        <v>0</v>
      </c>
      <c r="U20" s="6"/>
      <c r="V20" s="2">
        <f>'20.07.2026'!I22</f>
        <v>0</v>
      </c>
      <c r="W20" s="2">
        <f>'21.07.2026'!I22</f>
        <v>0</v>
      </c>
      <c r="X20" s="2">
        <f>'22.07.2026'!I22</f>
        <v>0</v>
      </c>
      <c r="Y20" s="2">
        <f>'23.07.2026'!I22</f>
        <v>0</v>
      </c>
      <c r="Z20" s="2">
        <f>'24.07.2026'!I22</f>
        <v>0</v>
      </c>
      <c r="AA20" s="6">
        <f>'25.07.2026'!I22</f>
        <v>0</v>
      </c>
      <c r="AB20" s="6"/>
      <c r="AC20" s="2">
        <f>'27.07.2026'!I22</f>
        <v>0</v>
      </c>
      <c r="AD20" s="2">
        <f>'28.07.2026'!I22</f>
        <v>0</v>
      </c>
      <c r="AE20" s="2">
        <f>'29.07.2026'!I22</f>
        <v>0</v>
      </c>
      <c r="AF20" s="2">
        <f>'30.07.2026'!I22</f>
        <v>0</v>
      </c>
      <c r="AG20" s="58">
        <f>'31.07.2026'!I22</f>
        <v>0</v>
      </c>
      <c r="AH20"/>
      <c r="AI20" s="22">
        <f t="shared" si="1"/>
        <v>0</v>
      </c>
    </row>
    <row r="21" spans="1:35" ht="17.25" customHeight="1" x14ac:dyDescent="0.25">
      <c r="A21" s="4">
        <v>8</v>
      </c>
      <c r="B21" s="1" t="s">
        <v>20</v>
      </c>
      <c r="C21" s="2">
        <f>'01.07.2026'!I23</f>
        <v>0</v>
      </c>
      <c r="D21" s="2">
        <f>'02.07.2026'!I23</f>
        <v>0</v>
      </c>
      <c r="E21" s="2">
        <f>'03.07.2026'!I23</f>
        <v>0</v>
      </c>
      <c r="F21" s="6">
        <f>'04.07.2026'!I23</f>
        <v>0</v>
      </c>
      <c r="G21" s="6"/>
      <c r="H21" s="2">
        <f>'06.07.2026'!I23</f>
        <v>0</v>
      </c>
      <c r="I21" s="2">
        <f>'07.07.2026'!I23</f>
        <v>0</v>
      </c>
      <c r="J21" s="2">
        <f>'08.07.2026'!I23</f>
        <v>0</v>
      </c>
      <c r="K21" s="2">
        <f>'09.07.2026'!I23</f>
        <v>0</v>
      </c>
      <c r="L21" s="2">
        <f>'10.07.2026'!I23</f>
        <v>0</v>
      </c>
      <c r="M21" s="6">
        <f>'11.07.2026'!I23</f>
        <v>0</v>
      </c>
      <c r="N21" s="6"/>
      <c r="O21" s="2">
        <f>'13.07.2026'!I23</f>
        <v>0</v>
      </c>
      <c r="P21" s="2">
        <f>'14.07.2026'!I23</f>
        <v>0</v>
      </c>
      <c r="Q21" s="2">
        <f>'15.07.2026'!I23</f>
        <v>0</v>
      </c>
      <c r="R21" s="2">
        <f>'16.07.2026'!I23</f>
        <v>0</v>
      </c>
      <c r="S21" s="2">
        <f>'17.07.2026'!I23</f>
        <v>0</v>
      </c>
      <c r="T21" s="6">
        <f>'18.07.2026'!I23</f>
        <v>0</v>
      </c>
      <c r="U21" s="6"/>
      <c r="V21" s="2">
        <f>'20.07.2026'!I23</f>
        <v>0</v>
      </c>
      <c r="W21" s="2">
        <f>'21.07.2026'!I23</f>
        <v>0</v>
      </c>
      <c r="X21" s="2">
        <f>'22.07.2026'!I23</f>
        <v>0</v>
      </c>
      <c r="Y21" s="2">
        <f>'23.07.2026'!I23</f>
        <v>0</v>
      </c>
      <c r="Z21" s="2">
        <f>'24.07.2026'!I23</f>
        <v>0</v>
      </c>
      <c r="AA21" s="6">
        <f>'25.07.2026'!I23</f>
        <v>0</v>
      </c>
      <c r="AB21" s="6"/>
      <c r="AC21" s="2">
        <f>'27.07.2026'!I23</f>
        <v>0</v>
      </c>
      <c r="AD21" s="2">
        <f>'28.07.2026'!I23</f>
        <v>0</v>
      </c>
      <c r="AE21" s="2">
        <f>'29.07.2026'!I23</f>
        <v>0</v>
      </c>
      <c r="AF21" s="2">
        <f>'30.07.2026'!I23</f>
        <v>0</v>
      </c>
      <c r="AG21" s="58">
        <f>'31.07.2026'!I23</f>
        <v>0</v>
      </c>
      <c r="AH21"/>
      <c r="AI21" s="22">
        <f t="shared" si="1"/>
        <v>0</v>
      </c>
    </row>
    <row r="22" spans="1:35" ht="17.25" customHeight="1" x14ac:dyDescent="0.25">
      <c r="A22" s="4">
        <v>9</v>
      </c>
      <c r="B22" s="1" t="s">
        <v>21</v>
      </c>
      <c r="C22" s="2">
        <f>'01.07.2026'!I24</f>
        <v>0</v>
      </c>
      <c r="D22" s="2">
        <f>'02.07.2026'!I24</f>
        <v>0</v>
      </c>
      <c r="E22" s="2">
        <f>'03.07.2026'!I24</f>
        <v>0</v>
      </c>
      <c r="F22" s="6">
        <f>'04.07.2026'!I24</f>
        <v>0</v>
      </c>
      <c r="G22" s="6"/>
      <c r="H22" s="2">
        <f>'06.07.2026'!I24</f>
        <v>0</v>
      </c>
      <c r="I22" s="2">
        <f>'07.07.2026'!I24</f>
        <v>0</v>
      </c>
      <c r="J22" s="2">
        <f>'08.07.2026'!I24</f>
        <v>0</v>
      </c>
      <c r="K22" s="2">
        <f>'09.07.2026'!I24</f>
        <v>0</v>
      </c>
      <c r="L22" s="2">
        <f>'10.07.2026'!I24</f>
        <v>0</v>
      </c>
      <c r="M22" s="6">
        <f>'11.07.2026'!I24</f>
        <v>0</v>
      </c>
      <c r="N22" s="6"/>
      <c r="O22" s="2">
        <f>'13.07.2026'!I24</f>
        <v>0</v>
      </c>
      <c r="P22" s="2">
        <f>'14.07.2026'!I24</f>
        <v>0</v>
      </c>
      <c r="Q22" s="2">
        <f>'15.07.2026'!I24</f>
        <v>0</v>
      </c>
      <c r="R22" s="2">
        <f>'16.07.2026'!I24</f>
        <v>0</v>
      </c>
      <c r="S22" s="2">
        <f>'17.07.2026'!I24</f>
        <v>0</v>
      </c>
      <c r="T22" s="6">
        <f>'18.07.2026'!I24</f>
        <v>0</v>
      </c>
      <c r="U22" s="6"/>
      <c r="V22" s="2">
        <f>'20.07.2026'!I24</f>
        <v>0</v>
      </c>
      <c r="W22" s="2">
        <f>'21.07.2026'!I24</f>
        <v>0</v>
      </c>
      <c r="X22" s="2">
        <f>'22.07.2026'!I24</f>
        <v>0</v>
      </c>
      <c r="Y22" s="2">
        <f>'23.07.2026'!I24</f>
        <v>0</v>
      </c>
      <c r="Z22" s="2">
        <f>'24.07.2026'!I24</f>
        <v>0</v>
      </c>
      <c r="AA22" s="6">
        <f>'25.07.2026'!I24</f>
        <v>0</v>
      </c>
      <c r="AB22" s="6"/>
      <c r="AC22" s="2">
        <f>'27.07.2026'!I24</f>
        <v>0</v>
      </c>
      <c r="AD22" s="2">
        <f>'28.07.2026'!I24</f>
        <v>0</v>
      </c>
      <c r="AE22" s="2">
        <f>'29.07.2026'!I24</f>
        <v>0</v>
      </c>
      <c r="AF22" s="2">
        <f>'30.07.2026'!I24</f>
        <v>0</v>
      </c>
      <c r="AG22" s="58">
        <f>'31.07.2026'!I24</f>
        <v>0</v>
      </c>
      <c r="AH22"/>
      <c r="AI22" s="22">
        <f t="shared" si="1"/>
        <v>0</v>
      </c>
    </row>
    <row r="23" spans="1:35" ht="17.25" customHeight="1" x14ac:dyDescent="0.25">
      <c r="A23" s="4">
        <v>10</v>
      </c>
      <c r="B23" s="1" t="s">
        <v>22</v>
      </c>
      <c r="C23" s="2">
        <f>'01.07.2026'!I25</f>
        <v>0</v>
      </c>
      <c r="D23" s="2">
        <f>'02.07.2026'!I25</f>
        <v>0</v>
      </c>
      <c r="E23" s="2">
        <f>'03.07.2026'!I25</f>
        <v>0</v>
      </c>
      <c r="F23" s="6">
        <f>'04.07.2026'!I25</f>
        <v>0</v>
      </c>
      <c r="G23" s="6"/>
      <c r="H23" s="2">
        <f>'06.07.2026'!I25</f>
        <v>0</v>
      </c>
      <c r="I23" s="2">
        <f>'07.07.2026'!I25</f>
        <v>0</v>
      </c>
      <c r="J23" s="2">
        <f>'08.07.2026'!I25</f>
        <v>0</v>
      </c>
      <c r="K23" s="2">
        <f>'09.07.2026'!I25</f>
        <v>0</v>
      </c>
      <c r="L23" s="2">
        <f>'10.07.2026'!I25</f>
        <v>1</v>
      </c>
      <c r="M23" s="6">
        <f>'11.07.2026'!I25</f>
        <v>0</v>
      </c>
      <c r="N23" s="6"/>
      <c r="O23" s="2">
        <f>'13.07.2026'!I25</f>
        <v>1</v>
      </c>
      <c r="P23" s="2">
        <f>'14.07.2026'!I25</f>
        <v>0</v>
      </c>
      <c r="Q23" s="2">
        <f>'15.07.2026'!I25</f>
        <v>0</v>
      </c>
      <c r="R23" s="2">
        <f>'16.07.2026'!I25</f>
        <v>0</v>
      </c>
      <c r="S23" s="2">
        <f>'17.07.2026'!I25</f>
        <v>0</v>
      </c>
      <c r="T23" s="6">
        <f>'18.07.2026'!I25</f>
        <v>0</v>
      </c>
      <c r="U23" s="6"/>
      <c r="V23" s="2">
        <f>'20.07.2026'!I25</f>
        <v>0</v>
      </c>
      <c r="W23" s="2">
        <f>'21.07.2026'!I25</f>
        <v>0</v>
      </c>
      <c r="X23" s="2">
        <f>'22.07.2026'!I25</f>
        <v>0</v>
      </c>
      <c r="Y23" s="2">
        <f>'23.07.2026'!I25</f>
        <v>0</v>
      </c>
      <c r="Z23" s="2">
        <f>'24.07.2026'!I25</f>
        <v>2</v>
      </c>
      <c r="AA23" s="6">
        <f>'25.07.2026'!I25</f>
        <v>0</v>
      </c>
      <c r="AB23" s="6"/>
      <c r="AC23" s="2">
        <f>'27.07.2026'!I25</f>
        <v>0</v>
      </c>
      <c r="AD23" s="2">
        <f>'28.07.2026'!I25</f>
        <v>0</v>
      </c>
      <c r="AE23" s="2">
        <f>'29.07.2026'!I25</f>
        <v>0</v>
      </c>
      <c r="AF23" s="2">
        <f>'30.07.2026'!I25</f>
        <v>0</v>
      </c>
      <c r="AG23" s="58">
        <f>'31.07.2026'!I25</f>
        <v>0</v>
      </c>
      <c r="AH23"/>
      <c r="AI23" s="22">
        <f t="shared" si="1"/>
        <v>4</v>
      </c>
    </row>
    <row r="24" spans="1:35" ht="17.25" customHeight="1" thickBot="1" x14ac:dyDescent="0.3">
      <c r="A24" s="13">
        <v>11</v>
      </c>
      <c r="B24" s="20" t="s">
        <v>23</v>
      </c>
      <c r="C24" s="5">
        <f>'01.07.2026'!I26</f>
        <v>0</v>
      </c>
      <c r="D24" s="5">
        <f>'02.07.2026'!I26</f>
        <v>1</v>
      </c>
      <c r="E24" s="5">
        <f>'03.07.2026'!I26</f>
        <v>0</v>
      </c>
      <c r="F24" s="7">
        <f>'04.07.2026'!I26</f>
        <v>0</v>
      </c>
      <c r="G24" s="7"/>
      <c r="H24" s="5">
        <f>'06.07.2026'!I26</f>
        <v>3</v>
      </c>
      <c r="I24" s="5">
        <f>'07.07.2026'!I26</f>
        <v>0</v>
      </c>
      <c r="J24" s="5">
        <f>'08.07.2026'!I26</f>
        <v>0</v>
      </c>
      <c r="K24" s="5">
        <f>'09.07.2026'!I26</f>
        <v>0</v>
      </c>
      <c r="L24" s="5">
        <f>'10.07.2026'!I26</f>
        <v>0</v>
      </c>
      <c r="M24" s="7">
        <f>'11.07.2026'!I26</f>
        <v>0</v>
      </c>
      <c r="N24" s="7"/>
      <c r="O24" s="5">
        <f>'13.07.2026'!I26</f>
        <v>0</v>
      </c>
      <c r="P24" s="5">
        <f>'14.07.2026'!I26</f>
        <v>0</v>
      </c>
      <c r="Q24" s="5">
        <f>'15.07.2026'!I26</f>
        <v>0</v>
      </c>
      <c r="R24" s="5">
        <f>'16.07.2026'!I26</f>
        <v>0</v>
      </c>
      <c r="S24" s="5">
        <f>'17.07.2026'!I26</f>
        <v>0</v>
      </c>
      <c r="T24" s="7">
        <f>'18.07.2026'!I26</f>
        <v>0</v>
      </c>
      <c r="U24" s="7"/>
      <c r="V24" s="5">
        <f>'20.07.2026'!I26</f>
        <v>2</v>
      </c>
      <c r="W24" s="5">
        <f>'21.07.2026'!I26</f>
        <v>4</v>
      </c>
      <c r="X24" s="5">
        <f>'22.07.2026'!I26</f>
        <v>0</v>
      </c>
      <c r="Y24" s="5">
        <f>'23.07.2026'!I26</f>
        <v>1</v>
      </c>
      <c r="Z24" s="5">
        <f>'24.07.2026'!I26</f>
        <v>0</v>
      </c>
      <c r="AA24" s="7">
        <f>'25.07.2026'!I26</f>
        <v>0</v>
      </c>
      <c r="AB24" s="7"/>
      <c r="AC24" s="5">
        <f>'27.07.2026'!I26</f>
        <v>1</v>
      </c>
      <c r="AD24" s="5">
        <f>'28.07.2026'!I26</f>
        <v>3</v>
      </c>
      <c r="AE24" s="5">
        <f>'29.07.2026'!I26</f>
        <v>0</v>
      </c>
      <c r="AF24" s="5">
        <f>'30.07.2026'!I26</f>
        <v>2</v>
      </c>
      <c r="AG24" s="59">
        <f>'31.07.2026'!I26</f>
        <v>0</v>
      </c>
      <c r="AH24"/>
      <c r="AI24" s="22">
        <f t="shared" si="1"/>
        <v>17</v>
      </c>
    </row>
    <row r="25" spans="1:35" ht="15.75" thickBot="1" x14ac:dyDescent="0.3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/>
      <c r="AI25" s="176"/>
    </row>
    <row r="26" spans="1:35" ht="17.25" customHeight="1" x14ac:dyDescent="0.25">
      <c r="A26" s="3"/>
      <c r="B26" s="21" t="s">
        <v>24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79"/>
      <c r="AH26"/>
      <c r="AI26" s="177"/>
    </row>
    <row r="27" spans="1:35" ht="17.25" customHeight="1" x14ac:dyDescent="0.25">
      <c r="A27" s="4">
        <v>1</v>
      </c>
      <c r="B27" s="18" t="s">
        <v>25</v>
      </c>
      <c r="C27" s="2">
        <f>'01.07.2026'!I29</f>
        <v>0</v>
      </c>
      <c r="D27" s="2">
        <f>'02.07.2026'!I29</f>
        <v>0</v>
      </c>
      <c r="E27" s="2">
        <f>'03.07.2026'!I29</f>
        <v>0</v>
      </c>
      <c r="F27" s="6">
        <f>'04.07.2026'!I29</f>
        <v>0</v>
      </c>
      <c r="G27" s="6"/>
      <c r="H27" s="2">
        <f>'06.07.2026'!I29</f>
        <v>0</v>
      </c>
      <c r="I27" s="2">
        <f>'07.07.2026'!I29</f>
        <v>2</v>
      </c>
      <c r="J27" s="2">
        <f>'08.07.2026'!I29</f>
        <v>0</v>
      </c>
      <c r="K27" s="2">
        <f>'09.07.2026'!I29</f>
        <v>0</v>
      </c>
      <c r="L27" s="2">
        <f>'10.07.2026'!I29</f>
        <v>0</v>
      </c>
      <c r="M27" s="6">
        <f>'11.07.2026'!I29</f>
        <v>0</v>
      </c>
      <c r="N27" s="6"/>
      <c r="O27" s="2">
        <f>'13.07.2026'!I29</f>
        <v>0</v>
      </c>
      <c r="P27" s="2">
        <f>'14.07.2026'!I29</f>
        <v>0</v>
      </c>
      <c r="Q27" s="2">
        <f>'15.07.2026'!I29</f>
        <v>0</v>
      </c>
      <c r="R27" s="2">
        <f>'16.07.2026'!I29</f>
        <v>0</v>
      </c>
      <c r="S27" s="2">
        <f>'17.07.2026'!I29</f>
        <v>0</v>
      </c>
      <c r="T27" s="6">
        <f>'18.07.2026'!I29</f>
        <v>0</v>
      </c>
      <c r="U27" s="6"/>
      <c r="V27" s="2">
        <f>'20.07.2026'!I29</f>
        <v>0</v>
      </c>
      <c r="W27" s="2">
        <f>'21.07.2026'!I29</f>
        <v>0</v>
      </c>
      <c r="X27" s="2">
        <f>'22.07.2026'!I29</f>
        <v>0</v>
      </c>
      <c r="Y27" s="2">
        <f>'23.07.2026'!I29</f>
        <v>0</v>
      </c>
      <c r="Z27" s="2">
        <f>'24.07.2026'!I29</f>
        <v>0</v>
      </c>
      <c r="AA27" s="6">
        <f>'25.07.2026'!I29</f>
        <v>0</v>
      </c>
      <c r="AB27" s="6"/>
      <c r="AC27" s="2">
        <f>'27.07.2026'!I29</f>
        <v>0</v>
      </c>
      <c r="AD27" s="2">
        <f>'28.07.2026'!I29</f>
        <v>0</v>
      </c>
      <c r="AE27" s="2">
        <f>'29.07.2026'!I29</f>
        <v>0</v>
      </c>
      <c r="AF27" s="2">
        <f>'30.07.2026'!I29</f>
        <v>0</v>
      </c>
      <c r="AG27" s="58">
        <f>'31.07.2026'!I29</f>
        <v>0</v>
      </c>
      <c r="AH27"/>
      <c r="AI27" s="22">
        <f t="shared" ref="AI27:AI31" si="2">SUM(C27:AF27)</f>
        <v>2</v>
      </c>
    </row>
    <row r="28" spans="1:35" ht="17.25" customHeight="1" x14ac:dyDescent="0.25">
      <c r="A28" s="4">
        <v>2</v>
      </c>
      <c r="B28" s="18" t="s">
        <v>26</v>
      </c>
      <c r="C28" s="2">
        <f>'01.07.2026'!I30</f>
        <v>0</v>
      </c>
      <c r="D28" s="2">
        <f>'02.07.2026'!I30</f>
        <v>0</v>
      </c>
      <c r="E28" s="2">
        <f>'03.07.2026'!I30</f>
        <v>0</v>
      </c>
      <c r="F28" s="6">
        <f>'04.07.2026'!I30</f>
        <v>0</v>
      </c>
      <c r="G28" s="6"/>
      <c r="H28" s="2">
        <f>'06.07.2026'!I30</f>
        <v>1</v>
      </c>
      <c r="I28" s="2">
        <f>'07.07.2026'!I30</f>
        <v>0</v>
      </c>
      <c r="J28" s="2">
        <f>'08.07.2026'!I30</f>
        <v>0</v>
      </c>
      <c r="K28" s="2">
        <f>'09.07.2026'!I30</f>
        <v>1</v>
      </c>
      <c r="L28" s="2">
        <f>'10.07.2026'!I30</f>
        <v>0</v>
      </c>
      <c r="M28" s="6">
        <f>'11.07.2026'!I30</f>
        <v>0</v>
      </c>
      <c r="N28" s="6"/>
      <c r="O28" s="2">
        <f>'13.07.2026'!I30</f>
        <v>0</v>
      </c>
      <c r="P28" s="2">
        <f>'14.07.2026'!I30</f>
        <v>0</v>
      </c>
      <c r="Q28" s="2">
        <f>'15.07.2026'!I30</f>
        <v>0</v>
      </c>
      <c r="R28" s="2">
        <f>'16.07.2026'!I30</f>
        <v>0</v>
      </c>
      <c r="S28" s="2">
        <f>'17.07.2026'!I30</f>
        <v>0</v>
      </c>
      <c r="T28" s="6">
        <f>'18.07.2026'!I30</f>
        <v>0</v>
      </c>
      <c r="U28" s="6"/>
      <c r="V28" s="2">
        <f>'20.07.2026'!I30</f>
        <v>0</v>
      </c>
      <c r="W28" s="2">
        <f>'21.07.2026'!I30</f>
        <v>0</v>
      </c>
      <c r="X28" s="2">
        <f>'22.07.2026'!I30</f>
        <v>0</v>
      </c>
      <c r="Y28" s="2">
        <f>'23.07.2026'!I30</f>
        <v>0</v>
      </c>
      <c r="Z28" s="2">
        <f>'24.07.2026'!I30</f>
        <v>1</v>
      </c>
      <c r="AA28" s="6">
        <f>'25.07.2026'!I30</f>
        <v>0</v>
      </c>
      <c r="AB28" s="6"/>
      <c r="AC28" s="2">
        <f>'27.07.2026'!I30</f>
        <v>0</v>
      </c>
      <c r="AD28" s="2">
        <f>'28.07.2026'!I30</f>
        <v>0</v>
      </c>
      <c r="AE28" s="2">
        <f>'29.07.2026'!I30</f>
        <v>0</v>
      </c>
      <c r="AF28" s="2">
        <f>'30.07.2026'!I30</f>
        <v>0</v>
      </c>
      <c r="AG28" s="58">
        <f>'31.07.2026'!I30</f>
        <v>0</v>
      </c>
      <c r="AH28"/>
      <c r="AI28" s="22">
        <f t="shared" si="2"/>
        <v>3</v>
      </c>
    </row>
    <row r="29" spans="1:35" ht="17.25" customHeight="1" x14ac:dyDescent="0.25">
      <c r="A29" s="4">
        <v>3</v>
      </c>
      <c r="B29" s="18" t="s">
        <v>27</v>
      </c>
      <c r="C29" s="2">
        <f>'01.07.2026'!I31</f>
        <v>0</v>
      </c>
      <c r="D29" s="2">
        <f>'02.07.2026'!I31</f>
        <v>0</v>
      </c>
      <c r="E29" s="2">
        <f>'03.07.2026'!I31</f>
        <v>0</v>
      </c>
      <c r="F29" s="6">
        <f>'04.07.2026'!I31</f>
        <v>0</v>
      </c>
      <c r="G29" s="6"/>
      <c r="H29" s="2">
        <f>'06.07.2026'!I31</f>
        <v>0</v>
      </c>
      <c r="I29" s="2">
        <f>'07.07.2026'!I31</f>
        <v>0</v>
      </c>
      <c r="J29" s="2">
        <f>'08.07.2026'!I31</f>
        <v>0</v>
      </c>
      <c r="K29" s="2">
        <f>'09.07.2026'!I31</f>
        <v>0</v>
      </c>
      <c r="L29" s="2">
        <f>'10.07.2026'!I31</f>
        <v>0</v>
      </c>
      <c r="M29" s="6">
        <f>'11.07.2026'!I31</f>
        <v>24</v>
      </c>
      <c r="N29" s="6"/>
      <c r="O29" s="2">
        <f>'13.07.2026'!I31</f>
        <v>0</v>
      </c>
      <c r="P29" s="2">
        <f>'14.07.2026'!I31</f>
        <v>0</v>
      </c>
      <c r="Q29" s="2">
        <f>'15.07.2026'!I31</f>
        <v>0</v>
      </c>
      <c r="R29" s="2">
        <f>'16.07.2026'!I31</f>
        <v>0</v>
      </c>
      <c r="S29" s="2">
        <f>'17.07.2026'!I31</f>
        <v>0</v>
      </c>
      <c r="T29" s="6">
        <f>'18.07.2026'!I31</f>
        <v>10</v>
      </c>
      <c r="U29" s="6"/>
      <c r="V29" s="2">
        <f>'20.07.2026'!I31</f>
        <v>0</v>
      </c>
      <c r="W29" s="2">
        <f>'21.07.2026'!I31</f>
        <v>0</v>
      </c>
      <c r="X29" s="2">
        <f>'22.07.2026'!I31</f>
        <v>2</v>
      </c>
      <c r="Y29" s="2">
        <f>'23.07.2026'!I31</f>
        <v>0</v>
      </c>
      <c r="Z29" s="2">
        <f>'24.07.2026'!I31</f>
        <v>0</v>
      </c>
      <c r="AA29" s="6">
        <f>'25.07.2026'!I31</f>
        <v>15</v>
      </c>
      <c r="AB29" s="6"/>
      <c r="AC29" s="2">
        <f>'27.07.2026'!I31</f>
        <v>0</v>
      </c>
      <c r="AD29" s="2">
        <f>'28.07.2026'!I31</f>
        <v>0</v>
      </c>
      <c r="AE29" s="2">
        <f>'29.07.2026'!I31</f>
        <v>3</v>
      </c>
      <c r="AF29" s="2">
        <f>'30.07.2026'!I31</f>
        <v>0</v>
      </c>
      <c r="AG29" s="58">
        <f>'31.07.2026'!I31</f>
        <v>3</v>
      </c>
      <c r="AH29"/>
      <c r="AI29" s="22">
        <f t="shared" si="2"/>
        <v>54</v>
      </c>
    </row>
    <row r="30" spans="1:35" ht="17.25" customHeight="1" x14ac:dyDescent="0.25">
      <c r="A30" s="4">
        <v>4</v>
      </c>
      <c r="B30" s="18" t="s">
        <v>28</v>
      </c>
      <c r="C30" s="2">
        <f>'01.07.2026'!I32</f>
        <v>0</v>
      </c>
      <c r="D30" s="2">
        <f>'02.07.2026'!I32</f>
        <v>0</v>
      </c>
      <c r="E30" s="2">
        <f>'03.07.2026'!I32</f>
        <v>0</v>
      </c>
      <c r="F30" s="6">
        <f>'04.07.2026'!I32</f>
        <v>0</v>
      </c>
      <c r="G30" s="6"/>
      <c r="H30" s="2">
        <f>'06.07.2026'!I32</f>
        <v>0</v>
      </c>
      <c r="I30" s="2">
        <f>'07.07.2026'!I32</f>
        <v>0</v>
      </c>
      <c r="J30" s="2">
        <f>'08.07.2026'!I32</f>
        <v>0</v>
      </c>
      <c r="K30" s="2">
        <f>'09.07.2026'!I32</f>
        <v>0</v>
      </c>
      <c r="L30" s="2">
        <f>'10.07.2026'!I32</f>
        <v>0</v>
      </c>
      <c r="M30" s="6">
        <f>'11.07.2026'!I32</f>
        <v>0</v>
      </c>
      <c r="N30" s="6"/>
      <c r="O30" s="2">
        <f>'13.07.2026'!I32</f>
        <v>0</v>
      </c>
      <c r="P30" s="2">
        <f>'14.07.2026'!I32</f>
        <v>0</v>
      </c>
      <c r="Q30" s="2">
        <f>'15.07.2026'!I32</f>
        <v>0</v>
      </c>
      <c r="R30" s="2">
        <f>'16.07.2026'!I32</f>
        <v>0</v>
      </c>
      <c r="S30" s="2">
        <f>'17.07.2026'!I32</f>
        <v>0</v>
      </c>
      <c r="T30" s="6">
        <f>'18.07.2026'!I32</f>
        <v>0</v>
      </c>
      <c r="U30" s="6"/>
      <c r="V30" s="2">
        <f>'20.07.2026'!I32</f>
        <v>0</v>
      </c>
      <c r="W30" s="2">
        <f>'21.07.2026'!I32</f>
        <v>0</v>
      </c>
      <c r="X30" s="2">
        <f>'22.07.2026'!I32</f>
        <v>0</v>
      </c>
      <c r="Y30" s="2">
        <f>'23.07.2026'!I32</f>
        <v>0</v>
      </c>
      <c r="Z30" s="2">
        <f>'24.07.2026'!I32</f>
        <v>0</v>
      </c>
      <c r="AA30" s="6">
        <f>'25.07.2026'!I32</f>
        <v>0</v>
      </c>
      <c r="AB30" s="6"/>
      <c r="AC30" s="2">
        <f>'27.07.2026'!I32</f>
        <v>0</v>
      </c>
      <c r="AD30" s="2">
        <f>'28.07.2026'!I32</f>
        <v>0</v>
      </c>
      <c r="AE30" s="2">
        <f>'29.07.2026'!I32</f>
        <v>0</v>
      </c>
      <c r="AF30" s="2">
        <f>'30.07.2026'!I32</f>
        <v>0</v>
      </c>
      <c r="AG30" s="58">
        <f>'31.07.2026'!I32</f>
        <v>0</v>
      </c>
      <c r="AH30"/>
      <c r="AI30" s="22">
        <f t="shared" si="2"/>
        <v>0</v>
      </c>
    </row>
    <row r="31" spans="1:35" ht="17.25" customHeight="1" thickBot="1" x14ac:dyDescent="0.3">
      <c r="A31" s="13">
        <v>5</v>
      </c>
      <c r="B31" s="19" t="s">
        <v>29</v>
      </c>
      <c r="C31" s="5">
        <f>'01.07.2026'!I33</f>
        <v>8</v>
      </c>
      <c r="D31" s="5">
        <f>'02.07.2026'!I33</f>
        <v>11</v>
      </c>
      <c r="E31" s="5">
        <f>'03.07.2026'!I33</f>
        <v>0</v>
      </c>
      <c r="F31" s="7">
        <f>'04.07.2026'!I33</f>
        <v>0</v>
      </c>
      <c r="G31" s="7"/>
      <c r="H31" s="5">
        <f>'06.07.2026'!I33</f>
        <v>0</v>
      </c>
      <c r="I31" s="5">
        <f>'07.07.2026'!I33</f>
        <v>0</v>
      </c>
      <c r="J31" s="5">
        <f>'08.07.2026'!I33</f>
        <v>0</v>
      </c>
      <c r="K31" s="5">
        <f>'09.07.2026'!I33</f>
        <v>0</v>
      </c>
      <c r="L31" s="5">
        <f>'10.07.2026'!I33</f>
        <v>0</v>
      </c>
      <c r="M31" s="7">
        <f>'11.07.2026'!I33</f>
        <v>0</v>
      </c>
      <c r="N31" s="7"/>
      <c r="O31" s="5">
        <f>'13.07.2026'!I33</f>
        <v>0</v>
      </c>
      <c r="P31" s="5">
        <f>'14.07.2026'!I33</f>
        <v>0</v>
      </c>
      <c r="Q31" s="5">
        <f>'15.07.2026'!I33</f>
        <v>0</v>
      </c>
      <c r="R31" s="5">
        <f>'16.07.2026'!I33</f>
        <v>0</v>
      </c>
      <c r="S31" s="5">
        <f>'17.07.2026'!I33</f>
        <v>1</v>
      </c>
      <c r="T31" s="7">
        <f>'18.07.2026'!I33</f>
        <v>0</v>
      </c>
      <c r="U31" s="7"/>
      <c r="V31" s="5">
        <f>'20.07.2026'!I33</f>
        <v>1</v>
      </c>
      <c r="W31" s="5">
        <f>'21.07.2026'!I33</f>
        <v>1</v>
      </c>
      <c r="X31" s="5">
        <f>'22.07.2026'!I33</f>
        <v>10</v>
      </c>
      <c r="Y31" s="5">
        <f>'23.07.2026'!I33</f>
        <v>0</v>
      </c>
      <c r="Z31" s="5">
        <f>'24.07.2026'!I33</f>
        <v>0</v>
      </c>
      <c r="AA31" s="7">
        <f>'25.07.2026'!I33</f>
        <v>0</v>
      </c>
      <c r="AB31" s="7"/>
      <c r="AC31" s="5">
        <f>'27.07.2026'!I33</f>
        <v>5</v>
      </c>
      <c r="AD31" s="5">
        <f>'28.07.2026'!I33</f>
        <v>1</v>
      </c>
      <c r="AE31" s="5">
        <f>'29.07.2026'!I33</f>
        <v>1</v>
      </c>
      <c r="AF31" s="5">
        <f>'30.07.2026'!I33</f>
        <v>7</v>
      </c>
      <c r="AG31" s="59">
        <f>'31.07.2026'!I33</f>
        <v>2</v>
      </c>
      <c r="AH31"/>
      <c r="AI31" s="22">
        <f t="shared" si="2"/>
        <v>46</v>
      </c>
    </row>
  </sheetData>
  <mergeCells count="3">
    <mergeCell ref="A1:AF1"/>
    <mergeCell ref="AI12:AI13"/>
    <mergeCell ref="AI25:AI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82A9-6575-474E-9823-58E4F2655C2E}">
  <dimension ref="A1:H32"/>
  <sheetViews>
    <sheetView tabSelected="1" workbookViewId="0">
      <selection activeCell="C35" sqref="C35"/>
    </sheetView>
  </sheetViews>
  <sheetFormatPr defaultRowHeight="15" x14ac:dyDescent="0.25"/>
  <sheetData>
    <row r="1" spans="1:8" ht="15.75" thickBot="1" x14ac:dyDescent="0.3"/>
    <row r="2" spans="1:8" ht="19.5" thickBot="1" x14ac:dyDescent="0.3">
      <c r="B2" s="168" t="s">
        <v>36</v>
      </c>
      <c r="C2" s="168" t="s">
        <v>37</v>
      </c>
      <c r="D2" s="168" t="s">
        <v>38</v>
      </c>
      <c r="E2" s="168" t="s">
        <v>39</v>
      </c>
      <c r="F2" s="168" t="s">
        <v>40</v>
      </c>
      <c r="G2" s="168" t="s">
        <v>41</v>
      </c>
      <c r="H2" s="168" t="s">
        <v>42</v>
      </c>
    </row>
    <row r="3" spans="1:8" ht="15.75" thickBot="1" x14ac:dyDescent="0.3">
      <c r="A3" s="171">
        <v>46204</v>
      </c>
      <c r="B3" s="170">
        <f>'01.07.2026'!K3</f>
        <v>5.125</v>
      </c>
      <c r="C3" s="169">
        <f>'01.07.2026'!L3</f>
        <v>5</v>
      </c>
      <c r="D3" s="169">
        <f>'01.07.2026'!M3</f>
        <v>5.541666666666667</v>
      </c>
      <c r="E3" s="169">
        <f>'01.07.2026'!N3</f>
        <v>17.833333333333332</v>
      </c>
      <c r="F3" s="169">
        <f>'01.07.2026'!O3</f>
        <v>4.666666666666667</v>
      </c>
      <c r="G3" s="169">
        <f>'01.07.2026'!P3</f>
        <v>5</v>
      </c>
      <c r="H3" s="169">
        <f>'01.07.2026'!Q3</f>
        <v>5.6666666666666661</v>
      </c>
    </row>
    <row r="4" spans="1:8" ht="15.75" thickBot="1" x14ac:dyDescent="0.3">
      <c r="A4" s="172">
        <v>46205</v>
      </c>
      <c r="B4" s="170">
        <f>'02.07.2026'!K3</f>
        <v>4.083333333333333</v>
      </c>
      <c r="C4" s="169">
        <f>'02.07.2026'!L3</f>
        <v>5</v>
      </c>
      <c r="D4" s="169">
        <f>'02.07.2026'!M3</f>
        <v>5.375</v>
      </c>
      <c r="E4" s="169">
        <f>'02.07.2026'!N3</f>
        <v>4.5</v>
      </c>
      <c r="F4" s="169" t="e">
        <f>'02.07.2026'!O3</f>
        <v>#DIV/0!</v>
      </c>
      <c r="G4" s="169">
        <f>'02.07.2026'!P3</f>
        <v>6</v>
      </c>
      <c r="H4" s="169">
        <f>'02.07.2026'!Q3</f>
        <v>4.75</v>
      </c>
    </row>
    <row r="5" spans="1:8" ht="15.75" thickBot="1" x14ac:dyDescent="0.3">
      <c r="A5" s="172">
        <v>46206</v>
      </c>
      <c r="B5" s="170">
        <f>'03.07.2026'!K3</f>
        <v>5.25</v>
      </c>
      <c r="C5" s="169">
        <f>'03.07.2026'!L3</f>
        <v>4.625</v>
      </c>
      <c r="D5" s="169">
        <f>'03.07.2026'!M3</f>
        <v>4.5</v>
      </c>
      <c r="E5" s="169">
        <f>'03.07.2026'!N3</f>
        <v>3.75</v>
      </c>
      <c r="F5" s="169" t="e">
        <f>'03.07.2026'!O3</f>
        <v>#DIV/0!</v>
      </c>
      <c r="G5" s="169">
        <f>'03.07.2026'!P3</f>
        <v>4</v>
      </c>
      <c r="H5" s="169">
        <f>'03.07.2026'!Q3</f>
        <v>5.5</v>
      </c>
    </row>
    <row r="6" spans="1:8" ht="15.75" thickBot="1" x14ac:dyDescent="0.3">
      <c r="A6" s="173">
        <v>46207</v>
      </c>
      <c r="B6" s="170">
        <f>'04.07.2026'!K3</f>
        <v>7.166666666666667</v>
      </c>
      <c r="C6" s="169">
        <f>'04.07.2026'!L3</f>
        <v>7.5</v>
      </c>
      <c r="D6" s="169">
        <f>'04.07.2026'!M3</f>
        <v>7</v>
      </c>
      <c r="E6" s="169">
        <f>'04.07.2026'!N3</f>
        <v>10</v>
      </c>
      <c r="F6" s="169" t="e">
        <f>'04.07.2026'!O3</f>
        <v>#DIV/0!</v>
      </c>
      <c r="G6" s="169" t="e">
        <f>'04.07.2026'!P3</f>
        <v>#DIV/0!</v>
      </c>
      <c r="H6" s="169">
        <f>'04.07.2026'!Q3</f>
        <v>7.75</v>
      </c>
    </row>
    <row r="7" spans="1:8" ht="15.75" thickBot="1" x14ac:dyDescent="0.3">
      <c r="A7" s="172">
        <v>46209</v>
      </c>
      <c r="B7" s="170">
        <f>'06.07.2026'!K3</f>
        <v>4.708333333333333</v>
      </c>
      <c r="C7" s="169">
        <f>'06.07.2026'!L3</f>
        <v>4.75</v>
      </c>
      <c r="D7" s="169">
        <f>'06.07.2026'!M3</f>
        <v>6</v>
      </c>
      <c r="E7" s="169">
        <f>'06.07.2026'!N3</f>
        <v>6.875</v>
      </c>
      <c r="F7" s="169" t="e">
        <f>'06.07.2026'!O3</f>
        <v>#DIV/0!</v>
      </c>
      <c r="G7" s="169">
        <f>'06.07.2026'!P3</f>
        <v>5.375</v>
      </c>
      <c r="H7" s="169">
        <f>'06.07.2026'!Q3</f>
        <v>5.75</v>
      </c>
    </row>
    <row r="8" spans="1:8" ht="15.75" thickBot="1" x14ac:dyDescent="0.3">
      <c r="A8" s="172">
        <v>46210</v>
      </c>
      <c r="B8" s="170">
        <f>'07.07.2026'!K3</f>
        <v>6.25</v>
      </c>
      <c r="C8" s="169">
        <f>'07.07.2026'!L3</f>
        <v>5.625</v>
      </c>
      <c r="D8" s="169">
        <f>'07.07.2026'!M3</f>
        <v>5</v>
      </c>
      <c r="E8" s="169">
        <f>'07.07.2026'!N3</f>
        <v>7.375</v>
      </c>
      <c r="F8" s="169" t="e">
        <f>'07.07.2026'!O3</f>
        <v>#DIV/0!</v>
      </c>
      <c r="G8" s="169">
        <f>'07.07.2026'!P3</f>
        <v>6.125</v>
      </c>
      <c r="H8" s="169">
        <f>'07.07.2026'!Q3</f>
        <v>6.25</v>
      </c>
    </row>
    <row r="9" spans="1:8" ht="15.75" thickBot="1" x14ac:dyDescent="0.3">
      <c r="A9" s="172">
        <v>46211</v>
      </c>
      <c r="B9" s="170">
        <f>'08.07.2026'!K3</f>
        <v>5.8125</v>
      </c>
      <c r="C9" s="169">
        <f>'08.07.2026'!L3</f>
        <v>6</v>
      </c>
      <c r="D9" s="169">
        <f>'08.07.2026'!M3</f>
        <v>6.375</v>
      </c>
      <c r="E9" s="169">
        <f>'08.07.2026'!N3</f>
        <v>6.625</v>
      </c>
      <c r="F9" s="169" t="e">
        <f>'08.07.2026'!O3</f>
        <v>#DIV/0!</v>
      </c>
      <c r="G9" s="169">
        <f>'08.07.2026'!P3</f>
        <v>4.5</v>
      </c>
      <c r="H9" s="169">
        <f>'08.07.2026'!Q3</f>
        <v>6.375</v>
      </c>
    </row>
    <row r="10" spans="1:8" ht="15.75" thickBot="1" x14ac:dyDescent="0.3">
      <c r="A10" s="172">
        <v>46212</v>
      </c>
      <c r="B10" s="170">
        <f>'09.07.2026'!K3</f>
        <v>5.0625</v>
      </c>
      <c r="C10" s="169">
        <f>'09.07.2026'!L3</f>
        <v>6</v>
      </c>
      <c r="D10" s="169">
        <f>'09.07.2026'!M3</f>
        <v>6.75</v>
      </c>
      <c r="E10" s="169">
        <f>'09.07.2026'!N3</f>
        <v>7.5</v>
      </c>
      <c r="F10" s="169" t="e">
        <f>'09.07.2026'!O3</f>
        <v>#DIV/0!</v>
      </c>
      <c r="G10" s="169">
        <f>'09.07.2026'!P3</f>
        <v>6.875</v>
      </c>
      <c r="H10" s="169">
        <f>'09.07.2026'!Q3</f>
        <v>7</v>
      </c>
    </row>
    <row r="11" spans="1:8" ht="15.75" thickBot="1" x14ac:dyDescent="0.3">
      <c r="A11" s="172">
        <v>46213</v>
      </c>
      <c r="B11" s="170">
        <f>'10.07.2026'!K3</f>
        <v>6</v>
      </c>
      <c r="C11" s="169">
        <f>'10.07.2026'!L3</f>
        <v>6</v>
      </c>
      <c r="D11" s="169">
        <f>'10.07.2026'!M3</f>
        <v>6.5</v>
      </c>
      <c r="E11" s="169">
        <f>'10.07.2026'!N3</f>
        <v>5.5</v>
      </c>
      <c r="F11" s="169" t="e">
        <f>'10.07.2026'!O3</f>
        <v>#DIV/0!</v>
      </c>
      <c r="G11" s="169">
        <f>'10.07.2026'!P3</f>
        <v>6.125</v>
      </c>
      <c r="H11" s="169">
        <f>'10.07.2026'!Q3</f>
        <v>5.75</v>
      </c>
    </row>
    <row r="12" spans="1:8" ht="15.75" thickBot="1" x14ac:dyDescent="0.3">
      <c r="A12" s="173">
        <v>46214</v>
      </c>
      <c r="B12" s="170" t="e">
        <f>'11.07.2026'!K3</f>
        <v>#DIV/0!</v>
      </c>
      <c r="C12" s="169" t="e">
        <f>'11.07.2026'!L3</f>
        <v>#DIV/0!</v>
      </c>
      <c r="D12" s="169" t="e">
        <f>'11.07.2026'!M3</f>
        <v>#DIV/0!</v>
      </c>
      <c r="E12" s="169">
        <f>'11.07.2026'!N3</f>
        <v>12</v>
      </c>
      <c r="F12" s="169" t="e">
        <f>'11.07.2026'!O3</f>
        <v>#DIV/0!</v>
      </c>
      <c r="G12" s="169" t="e">
        <f>'11.07.2026'!P3</f>
        <v>#DIV/0!</v>
      </c>
      <c r="H12" s="169">
        <f>'11.07.2026'!Q3</f>
        <v>12</v>
      </c>
    </row>
    <row r="13" spans="1:8" ht="15.75" thickBot="1" x14ac:dyDescent="0.3">
      <c r="A13" s="172">
        <v>46216</v>
      </c>
      <c r="B13" s="170">
        <f>'13.07.2026'!K3</f>
        <v>6.0625</v>
      </c>
      <c r="C13" s="169">
        <f>'13.07.2026'!L3</f>
        <v>5.625</v>
      </c>
      <c r="D13" s="169">
        <f>'13.07.2026'!M3</f>
        <v>6.125</v>
      </c>
      <c r="E13" s="169">
        <f>'13.07.2026'!N3</f>
        <v>7.5</v>
      </c>
      <c r="F13" s="169" t="e">
        <f>'13.07.2026'!O3</f>
        <v>#DIV/0!</v>
      </c>
      <c r="G13" s="169">
        <f>'13.07.2026'!P3</f>
        <v>6.25</v>
      </c>
      <c r="H13" s="169">
        <f>'13.07.2026'!Q3</f>
        <v>7</v>
      </c>
    </row>
    <row r="14" spans="1:8" ht="15.75" thickBot="1" x14ac:dyDescent="0.3">
      <c r="A14" s="172">
        <v>46217</v>
      </c>
      <c r="B14" s="170">
        <f>'14.07.2026'!K3</f>
        <v>5.625</v>
      </c>
      <c r="C14" s="169">
        <f>'14.07.2026'!L3</f>
        <v>6</v>
      </c>
      <c r="D14" s="169">
        <f>'14.07.2026'!M3</f>
        <v>5.291666666666667</v>
      </c>
      <c r="E14" s="169">
        <f>'14.07.2026'!N3</f>
        <v>8.25</v>
      </c>
      <c r="F14" s="169" t="e">
        <f>'14.07.2026'!O3</f>
        <v>#DIV/0!</v>
      </c>
      <c r="G14" s="169">
        <f>'14.07.2026'!P3</f>
        <v>7.75</v>
      </c>
      <c r="H14" s="169">
        <f>'14.07.2026'!Q3</f>
        <v>6.75</v>
      </c>
    </row>
    <row r="15" spans="1:8" ht="15.75" thickBot="1" x14ac:dyDescent="0.3">
      <c r="A15" s="172">
        <v>46218</v>
      </c>
      <c r="B15" s="170">
        <f>'15.07.2026'!K3</f>
        <v>4.583333333333333</v>
      </c>
      <c r="C15" s="169">
        <f>'15.07.2026'!L3</f>
        <v>6</v>
      </c>
      <c r="D15" s="169">
        <f>'15.07.2026'!M3</f>
        <v>5.625</v>
      </c>
      <c r="E15" s="169">
        <f>'15.07.2026'!N3</f>
        <v>7</v>
      </c>
      <c r="F15" s="169" t="e">
        <f>'15.07.2026'!O3</f>
        <v>#DIV/0!</v>
      </c>
      <c r="G15" s="169">
        <f>'15.07.2026'!P3</f>
        <v>7.125</v>
      </c>
      <c r="H15" s="169">
        <f>'15.07.2026'!Q3</f>
        <v>6.75</v>
      </c>
    </row>
    <row r="16" spans="1:8" ht="15.75" thickBot="1" x14ac:dyDescent="0.3">
      <c r="A16" s="172">
        <v>46219</v>
      </c>
      <c r="B16" s="170">
        <f>'16.07.2026'!K3</f>
        <v>5.916666666666667</v>
      </c>
      <c r="C16" s="169">
        <f>'16.07.2026'!L3</f>
        <v>5.625</v>
      </c>
      <c r="D16" s="169">
        <f>'16.07.2026'!M3</f>
        <v>8.875</v>
      </c>
      <c r="E16" s="169">
        <f>'16.07.2026'!N3</f>
        <v>10.75</v>
      </c>
      <c r="F16" s="169" t="e">
        <f>'16.07.2026'!O3</f>
        <v>#DIV/0!</v>
      </c>
      <c r="G16" s="169">
        <f>'16.07.2026'!P3</f>
        <v>6.75</v>
      </c>
      <c r="H16" s="169">
        <f>'16.07.2026'!Q3</f>
        <v>6.75</v>
      </c>
    </row>
    <row r="17" spans="1:8" ht="15.75" thickBot="1" x14ac:dyDescent="0.3">
      <c r="A17" s="172">
        <v>46220</v>
      </c>
      <c r="B17" s="170">
        <f>'17.07.2026'!K3</f>
        <v>5.75</v>
      </c>
      <c r="C17" s="169">
        <f>'17.07.2026'!L3</f>
        <v>3</v>
      </c>
      <c r="D17" s="169">
        <f>'17.07.2026'!M3</f>
        <v>7.25</v>
      </c>
      <c r="E17" s="169">
        <f>'17.07.2026'!N3</f>
        <v>8.75</v>
      </c>
      <c r="F17" s="169" t="e">
        <f>'17.07.2026'!O3</f>
        <v>#DIV/0!</v>
      </c>
      <c r="G17" s="169">
        <f>'17.07.2026'!P3</f>
        <v>7.5</v>
      </c>
      <c r="H17" s="169">
        <f>'17.07.2026'!Q3</f>
        <v>5.75</v>
      </c>
    </row>
    <row r="18" spans="1:8" ht="15.75" thickBot="1" x14ac:dyDescent="0.3">
      <c r="A18" s="173">
        <v>46221</v>
      </c>
      <c r="B18" s="170" t="e">
        <f>'18.07.2026'!K3</f>
        <v>#DIV/0!</v>
      </c>
      <c r="C18" s="169" t="e">
        <f>'18.07.2026'!L3</f>
        <v>#DIV/0!</v>
      </c>
      <c r="D18" s="169" t="e">
        <f>'18.07.2026'!M3</f>
        <v>#DIV/0!</v>
      </c>
      <c r="E18" s="169">
        <f>'18.07.2026'!N3</f>
        <v>8</v>
      </c>
      <c r="F18" s="169" t="e">
        <f>'18.07.2026'!O3</f>
        <v>#DIV/0!</v>
      </c>
      <c r="G18" s="169" t="e">
        <f>'18.07.2026'!P3</f>
        <v>#DIV/0!</v>
      </c>
      <c r="H18" s="169">
        <f>'18.07.2026'!Q3</f>
        <v>10</v>
      </c>
    </row>
    <row r="19" spans="1:8" ht="15.75" thickBot="1" x14ac:dyDescent="0.3">
      <c r="A19" s="172">
        <v>46223</v>
      </c>
      <c r="B19" s="170">
        <f>'20.07.2026'!K3</f>
        <v>4.166666666666667</v>
      </c>
      <c r="C19" s="169">
        <f>'20.07.2026'!L3</f>
        <v>5.5</v>
      </c>
      <c r="D19" s="169">
        <f>'20.07.2026'!M3</f>
        <v>6.125</v>
      </c>
      <c r="E19" s="169">
        <f>'20.07.2026'!N3</f>
        <v>7.5</v>
      </c>
      <c r="F19" s="169" t="e">
        <f>'20.07.2026'!O3</f>
        <v>#DIV/0!</v>
      </c>
      <c r="G19" s="169">
        <f>'20.07.2026'!P3</f>
        <v>7.25</v>
      </c>
      <c r="H19" s="169">
        <f>'20.07.2026'!Q3</f>
        <v>6</v>
      </c>
    </row>
    <row r="20" spans="1:8" ht="15.75" thickBot="1" x14ac:dyDescent="0.3">
      <c r="A20" s="172">
        <v>46224</v>
      </c>
      <c r="B20" s="170">
        <f>'21.07.2026'!K3</f>
        <v>4.333333333333333</v>
      </c>
      <c r="C20" s="169">
        <f>'21.07.2026'!L3</f>
        <v>6.625</v>
      </c>
      <c r="D20" s="169">
        <f>'21.07.2026'!M3</f>
        <v>6.625</v>
      </c>
      <c r="E20" s="169">
        <f>'21.07.2026'!N3</f>
        <v>23</v>
      </c>
      <c r="F20" s="169" t="e">
        <f>'21.07.2026'!O3</f>
        <v>#DIV/0!</v>
      </c>
      <c r="G20" s="169">
        <f>'21.07.2026'!P3</f>
        <v>8.375</v>
      </c>
      <c r="H20" s="169">
        <f>'21.07.2026'!Q3</f>
        <v>7.25</v>
      </c>
    </row>
    <row r="21" spans="1:8" ht="15.75" thickBot="1" x14ac:dyDescent="0.3">
      <c r="A21" s="172">
        <v>46225</v>
      </c>
      <c r="B21" s="170">
        <f>'22.07.2026'!K3</f>
        <v>3.0833333333333335</v>
      </c>
      <c r="C21" s="169">
        <f>'22.07.2026'!L3</f>
        <v>14.875</v>
      </c>
      <c r="D21" s="169">
        <f>'22.07.2026'!M3</f>
        <v>8.75</v>
      </c>
      <c r="E21" s="169">
        <f>'22.07.2026'!N3</f>
        <v>9.0416666666666661</v>
      </c>
      <c r="F21" s="169" t="e">
        <f>'22.07.2026'!O3</f>
        <v>#DIV/0!</v>
      </c>
      <c r="G21" s="169">
        <f>'22.07.2026'!P3</f>
        <v>8</v>
      </c>
      <c r="H21" s="169">
        <f>'22.07.2026'!Q3</f>
        <v>7</v>
      </c>
    </row>
    <row r="22" spans="1:8" ht="15.75" thickBot="1" x14ac:dyDescent="0.3">
      <c r="A22" s="172">
        <v>46226</v>
      </c>
      <c r="B22" s="170">
        <f>'23.07.2026'!K3</f>
        <v>5.916666666666667</v>
      </c>
      <c r="C22" s="169">
        <f>'23.07.2026'!L3</f>
        <v>6.75</v>
      </c>
      <c r="D22" s="169">
        <f>'23.07.2026'!M3</f>
        <v>5.0416666666666661</v>
      </c>
      <c r="E22" s="169">
        <f>'23.07.2026'!N3</f>
        <v>8</v>
      </c>
      <c r="F22" s="169" t="e">
        <f>'23.07.2026'!O3</f>
        <v>#DIV/0!</v>
      </c>
      <c r="G22" s="169">
        <f>'23.07.2026'!P3</f>
        <v>9.5</v>
      </c>
      <c r="H22" s="169">
        <f>'23.07.2026'!Q3</f>
        <v>4.75</v>
      </c>
    </row>
    <row r="23" spans="1:8" ht="15.75" thickBot="1" x14ac:dyDescent="0.3">
      <c r="A23" s="172">
        <v>46227</v>
      </c>
      <c r="B23" s="170">
        <f>'24.07.2026'!K3</f>
        <v>5.25</v>
      </c>
      <c r="C23" s="169">
        <f>'24.07.2026'!L3</f>
        <v>6.375</v>
      </c>
      <c r="D23" s="169">
        <f>'24.07.2026'!M3</f>
        <v>5.791666666666667</v>
      </c>
      <c r="E23" s="169">
        <f>'24.07.2026'!N3</f>
        <v>8.7916666666666661</v>
      </c>
      <c r="F23" s="169" t="e">
        <f>'24.07.2026'!O3</f>
        <v>#DIV/0!</v>
      </c>
      <c r="G23" s="169">
        <f>'24.07.2026'!P3</f>
        <v>5.875</v>
      </c>
      <c r="H23" s="169">
        <f>'24.07.2026'!Q3</f>
        <v>6.3333333333333339</v>
      </c>
    </row>
    <row r="24" spans="1:8" ht="15.75" thickBot="1" x14ac:dyDescent="0.3">
      <c r="A24" s="173">
        <v>46228</v>
      </c>
      <c r="B24" s="170" t="e">
        <f>'25.07.2026'!K3</f>
        <v>#DIV/0!</v>
      </c>
      <c r="C24" s="169" t="e">
        <f>'25.07.2026'!L3</f>
        <v>#DIV/0!</v>
      </c>
      <c r="D24" s="169" t="e">
        <f>'25.07.2026'!M3</f>
        <v>#DIV/0!</v>
      </c>
      <c r="E24" s="169">
        <f>'25.07.2026'!N3</f>
        <v>11</v>
      </c>
      <c r="F24" s="169" t="e">
        <f>'25.07.2026'!O3</f>
        <v>#DIV/0!</v>
      </c>
      <c r="G24" s="169" t="e">
        <f>'25.07.2026'!P3</f>
        <v>#DIV/0!</v>
      </c>
      <c r="H24" s="169">
        <f>'25.07.2026'!Q3</f>
        <v>15</v>
      </c>
    </row>
    <row r="25" spans="1:8" ht="15.75" thickBot="1" x14ac:dyDescent="0.3">
      <c r="A25" s="172">
        <v>46230</v>
      </c>
      <c r="B25" s="170">
        <f>'27.07.2026'!K3</f>
        <v>5.166666666666667</v>
      </c>
      <c r="C25" s="169">
        <f>'27.07.2026'!L3</f>
        <v>6.625</v>
      </c>
      <c r="D25" s="169">
        <f>'27.07.2026'!M3</f>
        <v>5.625</v>
      </c>
      <c r="E25" s="169">
        <f>'27.07.2026'!N3</f>
        <v>6.833333333333333</v>
      </c>
      <c r="F25" s="169" t="e">
        <f>'27.07.2026'!O3</f>
        <v>#DIV/0!</v>
      </c>
      <c r="G25" s="169">
        <f>'27.07.2026'!P3</f>
        <v>7.125</v>
      </c>
      <c r="H25" s="169">
        <f>'27.07.2026'!Q3</f>
        <v>5.75</v>
      </c>
    </row>
    <row r="26" spans="1:8" ht="15.75" thickBot="1" x14ac:dyDescent="0.3">
      <c r="A26" s="172">
        <v>46231</v>
      </c>
      <c r="B26" s="170">
        <f>'28.07.2026'!K3</f>
        <v>5.083333333333333</v>
      </c>
      <c r="C26" s="169">
        <f>'28.07.2026'!L3</f>
        <v>6.75</v>
      </c>
      <c r="D26" s="169">
        <f>'28.07.2026'!M3</f>
        <v>4.3333333333333339</v>
      </c>
      <c r="E26" s="169">
        <f>'28.07.2026'!N3</f>
        <v>4.75</v>
      </c>
      <c r="F26" s="169" t="e">
        <f>'28.07.2026'!O3</f>
        <v>#DIV/0!</v>
      </c>
      <c r="G26" s="169">
        <f>'28.07.2026'!P3</f>
        <v>8.75</v>
      </c>
      <c r="H26" s="169">
        <f>'28.07.2026'!Q3</f>
        <v>6.25</v>
      </c>
    </row>
    <row r="27" spans="1:8" ht="15.75" thickBot="1" x14ac:dyDescent="0.3">
      <c r="A27" s="172">
        <v>46232</v>
      </c>
      <c r="B27" s="170">
        <f>'29.07.2026'!K3</f>
        <v>5.583333333333333</v>
      </c>
      <c r="C27" s="169">
        <f>'29.07.2026'!L3</f>
        <v>3.5</v>
      </c>
      <c r="D27" s="169">
        <f>'29.07.2026'!M3</f>
        <v>6.916666666666667</v>
      </c>
      <c r="E27" s="169">
        <f>'29.07.2026'!N3</f>
        <v>8.625</v>
      </c>
      <c r="F27" s="169" t="e">
        <f>'29.07.2026'!O3</f>
        <v>#DIV/0!</v>
      </c>
      <c r="G27" s="169">
        <f>'29.07.2026'!P3</f>
        <v>7.625</v>
      </c>
      <c r="H27" s="169">
        <f>'29.07.2026'!Q3</f>
        <v>6</v>
      </c>
    </row>
    <row r="28" spans="1:8" ht="15.75" thickBot="1" x14ac:dyDescent="0.3">
      <c r="A28" s="172">
        <v>46233</v>
      </c>
      <c r="B28" s="170">
        <f>'30.07.2026'!K3</f>
        <v>6.083333333333333</v>
      </c>
      <c r="C28" s="169">
        <f>'30.07.2026'!L3</f>
        <v>7.625</v>
      </c>
      <c r="D28" s="169">
        <f>'30.07.2026'!M3</f>
        <v>4.7083333333333339</v>
      </c>
      <c r="E28" s="169">
        <f>'30.07.2026'!N3</f>
        <v>15</v>
      </c>
      <c r="F28" s="169" t="e">
        <f>'30.07.2026'!O3</f>
        <v>#DIV/0!</v>
      </c>
      <c r="G28" s="169">
        <f>'30.07.2026'!P3</f>
        <v>6.25</v>
      </c>
      <c r="H28" s="169">
        <f>'30.07.2026'!Q3</f>
        <v>7.125</v>
      </c>
    </row>
    <row r="29" spans="1:8" ht="15.75" thickBot="1" x14ac:dyDescent="0.3">
      <c r="A29" s="174">
        <v>46234</v>
      </c>
      <c r="B29" s="170">
        <f>'31.07.2026'!K3</f>
        <v>5.083333333333333</v>
      </c>
      <c r="C29" s="169">
        <f>'31.07.2026'!L3</f>
        <v>6.125</v>
      </c>
      <c r="D29" s="169">
        <f>'31.07.2026'!M3</f>
        <v>6.125</v>
      </c>
      <c r="E29" s="169">
        <f>'31.07.2026'!N3</f>
        <v>5.5</v>
      </c>
      <c r="F29" s="169" t="e">
        <f>'31.07.2026'!O3</f>
        <v>#DIV/0!</v>
      </c>
      <c r="G29" s="169">
        <f>'31.07.2026'!P3</f>
        <v>5.5</v>
      </c>
      <c r="H29" s="169">
        <f>'31.07.2026'!Q3</f>
        <v>6.5</v>
      </c>
    </row>
    <row r="32" spans="1:8" x14ac:dyDescent="0.25">
      <c r="A32" t="s">
        <v>46</v>
      </c>
      <c r="B32">
        <f>_xlfn.AGGREGATE(1,6,B3:B29)</f>
        <v>5.2977430555555545</v>
      </c>
      <c r="C32">
        <f t="shared" ref="C32:H32" si="0">_xlfn.AGGREGATE(1,6,C3:C29)</f>
        <v>6.145833333333333</v>
      </c>
      <c r="D32">
        <f t="shared" si="0"/>
        <v>6.0937500000000009</v>
      </c>
      <c r="E32">
        <f t="shared" si="0"/>
        <v>8.898148148148147</v>
      </c>
      <c r="F32">
        <f t="shared" si="0"/>
        <v>4.666666666666667</v>
      </c>
      <c r="G32">
        <f t="shared" si="0"/>
        <v>6.6793478260869561</v>
      </c>
      <c r="H32">
        <f t="shared" si="0"/>
        <v>6.9537037037037033</v>
      </c>
    </row>
  </sheetData>
  <conditionalFormatting sqref="B3:H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7FD8-ED64-4CEE-B84D-A83A42154BAC}">
  <sheetPr codeName="Sheet8"/>
  <dimension ref="A1:AE35"/>
  <sheetViews>
    <sheetView workbookViewId="0">
      <selection activeCell="M8" sqref="M8"/>
    </sheetView>
  </sheetViews>
  <sheetFormatPr defaultRowHeight="15" x14ac:dyDescent="0.25"/>
  <cols>
    <col min="1" max="1" width="6.5703125" customWidth="1"/>
    <col min="2" max="2" width="41.42578125" customWidth="1"/>
    <col min="3" max="3" width="6" bestFit="1" customWidth="1"/>
    <col min="4" max="4" width="6.140625" bestFit="1" customWidth="1"/>
    <col min="5" max="6" width="5.7109375" customWidth="1"/>
    <col min="7" max="7" width="5.5703125" bestFit="1" customWidth="1"/>
    <col min="8" max="8" width="5.85546875" bestFit="1" customWidth="1"/>
    <col min="9" max="9" width="5.5703125" bestFit="1" customWidth="1"/>
    <col min="10" max="10" width="5.7109375" customWidth="1"/>
    <col min="11" max="11" width="8.7109375" style="53" bestFit="1" customWidth="1"/>
    <col min="12" max="33" width="5.7109375" customWidth="1"/>
  </cols>
  <sheetData>
    <row r="1" spans="1:31" ht="15.75" thickBot="1" x14ac:dyDescent="0.3"/>
    <row r="2" spans="1:31" ht="19.5" thickBot="1" x14ac:dyDescent="0.35">
      <c r="A2" s="15"/>
      <c r="B2" s="15"/>
      <c r="C2" s="25" t="s">
        <v>36</v>
      </c>
      <c r="D2" s="26" t="s">
        <v>37</v>
      </c>
      <c r="E2" s="26" t="s">
        <v>38</v>
      </c>
      <c r="F2" s="26" t="s">
        <v>39</v>
      </c>
      <c r="G2" s="26" t="s">
        <v>40</v>
      </c>
      <c r="H2" s="26" t="s">
        <v>41</v>
      </c>
      <c r="I2" s="27" t="s">
        <v>42</v>
      </c>
      <c r="J2" s="15"/>
      <c r="K2" s="52" t="s">
        <v>3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16.5" customHeight="1" thickBot="1" x14ac:dyDescent="0.35">
      <c r="A3" s="15"/>
      <c r="B3" s="49" t="s">
        <v>43</v>
      </c>
      <c r="C3" s="34"/>
      <c r="D3" s="34"/>
      <c r="E3" s="34"/>
      <c r="F3" s="34"/>
      <c r="G3" s="34"/>
      <c r="H3" s="34"/>
      <c r="I3" s="45"/>
      <c r="J3" s="15"/>
      <c r="K3" s="5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15.75" thickBot="1" x14ac:dyDescent="0.3">
      <c r="A4" s="28" t="s">
        <v>1</v>
      </c>
      <c r="B4" s="30" t="s">
        <v>2</v>
      </c>
      <c r="C4" s="41"/>
      <c r="D4" s="82"/>
      <c r="E4" s="46"/>
      <c r="F4" s="82"/>
      <c r="G4" s="46"/>
      <c r="H4" s="46"/>
      <c r="I4" s="84"/>
      <c r="K4" s="54"/>
    </row>
    <row r="5" spans="1:31" ht="15.75" customHeight="1" thickBot="1" x14ac:dyDescent="0.3">
      <c r="A5" s="12">
        <v>1</v>
      </c>
      <c r="B5" s="29" t="s">
        <v>4</v>
      </c>
      <c r="C5" s="81">
        <f>DPR!AI3</f>
        <v>206</v>
      </c>
      <c r="D5" s="50">
        <f>DMI!AI3</f>
        <v>59</v>
      </c>
      <c r="E5" s="83">
        <f>DPE!AI3</f>
        <v>43</v>
      </c>
      <c r="F5" s="50">
        <f>DPZ!AI3</f>
        <v>85</v>
      </c>
      <c r="G5" s="47">
        <f>DFE!AI3</f>
        <v>0</v>
      </c>
      <c r="H5" s="81">
        <f>DGL!AI3</f>
        <v>87</v>
      </c>
      <c r="I5" s="50">
        <f>DGJ!AI3</f>
        <v>70</v>
      </c>
      <c r="K5" s="55">
        <f>SUM(C5:I5)</f>
        <v>550</v>
      </c>
    </row>
    <row r="6" spans="1:31" ht="15.75" customHeight="1" thickBot="1" x14ac:dyDescent="0.3">
      <c r="A6" s="4">
        <v>2</v>
      </c>
      <c r="B6" s="1" t="s">
        <v>5</v>
      </c>
      <c r="C6" s="81">
        <f>DPR!AI4</f>
        <v>0</v>
      </c>
      <c r="D6" s="42">
        <f>DMI!AI4</f>
        <v>0</v>
      </c>
      <c r="E6" s="83">
        <f>DPE!AI4</f>
        <v>1</v>
      </c>
      <c r="F6" s="42">
        <f>DPZ!AI4</f>
        <v>0</v>
      </c>
      <c r="G6" s="47">
        <f>DFE!AI4</f>
        <v>0</v>
      </c>
      <c r="H6" s="81">
        <f>DGL!AI4</f>
        <v>1</v>
      </c>
      <c r="I6" s="42">
        <f>DGJ!AI4</f>
        <v>0</v>
      </c>
      <c r="K6" s="55">
        <f t="shared" ref="K6:K33" si="0">SUM(C6:I6)</f>
        <v>2</v>
      </c>
    </row>
    <row r="7" spans="1:31" ht="15.75" customHeight="1" thickBot="1" x14ac:dyDescent="0.3">
      <c r="A7" s="4">
        <v>3</v>
      </c>
      <c r="B7" s="1" t="s">
        <v>6</v>
      </c>
      <c r="C7" s="81">
        <f>DPR!AI5</f>
        <v>4</v>
      </c>
      <c r="D7" s="42">
        <f>DMI!AI5</f>
        <v>0</v>
      </c>
      <c r="E7" s="83">
        <f>DPE!AI5</f>
        <v>1</v>
      </c>
      <c r="F7" s="42">
        <f>DPZ!AI5</f>
        <v>0</v>
      </c>
      <c r="G7" s="47">
        <f>DFE!AI5</f>
        <v>0</v>
      </c>
      <c r="H7" s="81">
        <f>DGL!AI5</f>
        <v>0</v>
      </c>
      <c r="I7" s="42">
        <f>DGJ!AI5</f>
        <v>0</v>
      </c>
      <c r="K7" s="55">
        <f t="shared" si="0"/>
        <v>5</v>
      </c>
    </row>
    <row r="8" spans="1:31" ht="15.75" customHeight="1" thickBot="1" x14ac:dyDescent="0.3">
      <c r="A8" s="4">
        <v>4</v>
      </c>
      <c r="B8" s="1" t="s">
        <v>7</v>
      </c>
      <c r="C8" s="81">
        <f>DPR!AI6</f>
        <v>6</v>
      </c>
      <c r="D8" s="42">
        <f>DMI!AI6</f>
        <v>0</v>
      </c>
      <c r="E8" s="83">
        <f>DPE!AI6</f>
        <v>7</v>
      </c>
      <c r="F8" s="42">
        <f>DPZ!AI6</f>
        <v>0</v>
      </c>
      <c r="G8" s="47">
        <f>DFE!AI6</f>
        <v>0</v>
      </c>
      <c r="H8" s="81">
        <f>DGL!AI6</f>
        <v>8</v>
      </c>
      <c r="I8" s="42">
        <f>DGJ!AI6</f>
        <v>6</v>
      </c>
      <c r="K8" s="55">
        <f t="shared" si="0"/>
        <v>27</v>
      </c>
    </row>
    <row r="9" spans="1:31" ht="15.75" customHeight="1" thickBot="1" x14ac:dyDescent="0.3">
      <c r="A9" s="4">
        <v>5</v>
      </c>
      <c r="B9" s="1" t="s">
        <v>8</v>
      </c>
      <c r="C9" s="81">
        <f>DPR!AI7</f>
        <v>12</v>
      </c>
      <c r="D9" s="42">
        <f>DMI!AI7</f>
        <v>8</v>
      </c>
      <c r="E9" s="83">
        <f>DPE!AI7</f>
        <v>1</v>
      </c>
      <c r="F9" s="42">
        <f>DPZ!AI7</f>
        <v>3</v>
      </c>
      <c r="G9" s="47">
        <f>DFE!AI7</f>
        <v>0</v>
      </c>
      <c r="H9" s="81">
        <f>DGL!AI7</f>
        <v>3</v>
      </c>
      <c r="I9" s="42">
        <f>DGJ!AI7</f>
        <v>1</v>
      </c>
      <c r="K9" s="55">
        <f t="shared" si="0"/>
        <v>28</v>
      </c>
    </row>
    <row r="10" spans="1:31" ht="15.75" customHeight="1" thickBot="1" x14ac:dyDescent="0.3">
      <c r="A10" s="4">
        <v>6</v>
      </c>
      <c r="B10" s="1" t="s">
        <v>9</v>
      </c>
      <c r="C10" s="81">
        <f>DPR!AI8</f>
        <v>0</v>
      </c>
      <c r="D10" s="42">
        <f>DMI!AI8</f>
        <v>0</v>
      </c>
      <c r="E10" s="83">
        <f>DPE!AI8</f>
        <v>0</v>
      </c>
      <c r="F10" s="42">
        <f>DPZ!AI8</f>
        <v>0</v>
      </c>
      <c r="G10" s="47">
        <f>DFE!AI8</f>
        <v>0</v>
      </c>
      <c r="H10" s="81">
        <f>DGL!AI8</f>
        <v>0</v>
      </c>
      <c r="I10" s="42">
        <f>DGJ!AI8</f>
        <v>0</v>
      </c>
      <c r="K10" s="55">
        <f t="shared" si="0"/>
        <v>0</v>
      </c>
    </row>
    <row r="11" spans="1:31" ht="15.75" customHeight="1" thickBot="1" x14ac:dyDescent="0.3">
      <c r="A11" s="4">
        <v>7</v>
      </c>
      <c r="B11" s="1" t="s">
        <v>10</v>
      </c>
      <c r="C11" s="81">
        <f>DPR!AI9</f>
        <v>2</v>
      </c>
      <c r="D11" s="42">
        <f>DMI!AI9</f>
        <v>0</v>
      </c>
      <c r="E11" s="83">
        <f>DPE!AI9</f>
        <v>1</v>
      </c>
      <c r="F11" s="42">
        <f>DPZ!AI9</f>
        <v>0</v>
      </c>
      <c r="G11" s="47">
        <f>DFE!AI9</f>
        <v>0</v>
      </c>
      <c r="H11" s="81">
        <f>DGL!AI9</f>
        <v>2</v>
      </c>
      <c r="I11" s="42">
        <f>DGJ!AI9</f>
        <v>2</v>
      </c>
      <c r="K11" s="55">
        <f t="shared" si="0"/>
        <v>7</v>
      </c>
    </row>
    <row r="12" spans="1:31" ht="15.75" customHeight="1" thickBot="1" x14ac:dyDescent="0.3">
      <c r="A12" s="4">
        <v>8</v>
      </c>
      <c r="B12" s="1" t="s">
        <v>11</v>
      </c>
      <c r="C12" s="81">
        <f>DPR!AI10</f>
        <v>10</v>
      </c>
      <c r="D12" s="42">
        <f>DMI!AI10</f>
        <v>5</v>
      </c>
      <c r="E12" s="83">
        <f>DPE!AI10</f>
        <v>3</v>
      </c>
      <c r="F12" s="42">
        <f>DPZ!AI10</f>
        <v>13</v>
      </c>
      <c r="G12" s="47">
        <f>DFE!AI10</f>
        <v>0</v>
      </c>
      <c r="H12" s="81">
        <f>DGL!AI10</f>
        <v>0</v>
      </c>
      <c r="I12" s="42">
        <f>DGJ!AI10</f>
        <v>9</v>
      </c>
      <c r="K12" s="55">
        <f t="shared" si="0"/>
        <v>40</v>
      </c>
    </row>
    <row r="13" spans="1:31" ht="15.75" customHeight="1" thickBot="1" x14ac:dyDescent="0.3">
      <c r="A13" s="13">
        <v>9</v>
      </c>
      <c r="B13" s="10" t="s">
        <v>12</v>
      </c>
      <c r="C13" s="81">
        <f>DPR!AI11</f>
        <v>37</v>
      </c>
      <c r="D13" s="43">
        <f>DMI!AI11</f>
        <v>0</v>
      </c>
      <c r="E13" s="83">
        <f>DPE!AI11</f>
        <v>260</v>
      </c>
      <c r="F13" s="43">
        <f>DPZ!AI11</f>
        <v>4</v>
      </c>
      <c r="G13" s="47">
        <f>DFE!AI11</f>
        <v>5</v>
      </c>
      <c r="H13" s="81">
        <f>DGL!AI11</f>
        <v>0</v>
      </c>
      <c r="I13" s="43">
        <f>DGJ!AI11</f>
        <v>0</v>
      </c>
      <c r="K13" s="55">
        <f t="shared" si="0"/>
        <v>306</v>
      </c>
    </row>
    <row r="14" spans="1:31" ht="15" customHeight="1" thickBot="1" x14ac:dyDescent="0.3">
      <c r="A14" s="14"/>
      <c r="B14" s="9"/>
      <c r="C14" s="48"/>
      <c r="E14" s="48"/>
      <c r="G14" s="48"/>
      <c r="H14" s="48"/>
      <c r="K14" s="56"/>
    </row>
    <row r="15" spans="1:31" ht="16.5" thickBot="1" x14ac:dyDescent="0.3">
      <c r="A15" s="31"/>
      <c r="B15" s="32" t="s">
        <v>13</v>
      </c>
      <c r="C15" s="80"/>
      <c r="D15" s="44"/>
      <c r="E15" s="44"/>
      <c r="F15" s="80"/>
      <c r="G15" s="44"/>
      <c r="H15" s="44"/>
      <c r="I15" s="85"/>
      <c r="K15" s="56"/>
    </row>
    <row r="16" spans="1:31" ht="15.75" customHeight="1" thickBot="1" x14ac:dyDescent="0.3">
      <c r="A16" s="4">
        <v>1</v>
      </c>
      <c r="B16" s="35" t="s">
        <v>14</v>
      </c>
      <c r="C16" s="50">
        <f>DPR!AI14</f>
        <v>178</v>
      </c>
      <c r="D16" s="47">
        <f>DMI!AI14</f>
        <v>179</v>
      </c>
      <c r="E16" s="81">
        <f>DPE!AI14</f>
        <v>127</v>
      </c>
      <c r="F16" s="50">
        <f>DPZ!AI14</f>
        <v>89</v>
      </c>
      <c r="G16" s="47">
        <f>DFE!AI14</f>
        <v>0</v>
      </c>
      <c r="H16" s="81">
        <f>DGL!AI14</f>
        <v>78</v>
      </c>
      <c r="I16" s="50">
        <f>DGJ!AI14</f>
        <v>109</v>
      </c>
      <c r="K16" s="55">
        <f t="shared" si="0"/>
        <v>760</v>
      </c>
    </row>
    <row r="17" spans="1:11" ht="15.75" customHeight="1" thickBot="1" x14ac:dyDescent="0.3">
      <c r="A17" s="4">
        <v>2</v>
      </c>
      <c r="B17" s="33" t="s">
        <v>15</v>
      </c>
      <c r="C17" s="42">
        <f>DPR!AI15</f>
        <v>1</v>
      </c>
      <c r="D17" s="47">
        <f>DMI!AI15</f>
        <v>0</v>
      </c>
      <c r="E17" s="81">
        <f>DPE!AI15</f>
        <v>4</v>
      </c>
      <c r="F17" s="42">
        <f>DPZ!AI15</f>
        <v>1</v>
      </c>
      <c r="G17" s="47">
        <f>DFE!AI15</f>
        <v>0</v>
      </c>
      <c r="H17" s="81">
        <f>DGL!AI15</f>
        <v>0</v>
      </c>
      <c r="I17" s="42">
        <f>DGJ!AI15</f>
        <v>0</v>
      </c>
      <c r="K17" s="55">
        <f t="shared" si="0"/>
        <v>6</v>
      </c>
    </row>
    <row r="18" spans="1:11" ht="15.75" customHeight="1" thickBot="1" x14ac:dyDescent="0.3">
      <c r="A18" s="4">
        <v>3</v>
      </c>
      <c r="B18" s="33" t="s">
        <v>16</v>
      </c>
      <c r="C18" s="42">
        <f>DPR!AI16</f>
        <v>2</v>
      </c>
      <c r="D18" s="47">
        <f>DMI!AI16</f>
        <v>4</v>
      </c>
      <c r="E18" s="81">
        <f>DPE!AI16</f>
        <v>4</v>
      </c>
      <c r="F18" s="42">
        <f>DPZ!AI16</f>
        <v>2</v>
      </c>
      <c r="G18" s="47">
        <f>DFE!AI16</f>
        <v>0</v>
      </c>
      <c r="H18" s="81">
        <f>DGL!AI16</f>
        <v>10</v>
      </c>
      <c r="I18" s="42">
        <f>DGJ!AI16</f>
        <v>8</v>
      </c>
      <c r="K18" s="55">
        <f t="shared" si="0"/>
        <v>30</v>
      </c>
    </row>
    <row r="19" spans="1:11" ht="15.75" customHeight="1" thickBot="1" x14ac:dyDescent="0.3">
      <c r="A19" s="4">
        <v>4</v>
      </c>
      <c r="B19" s="33" t="s">
        <v>17</v>
      </c>
      <c r="C19" s="42">
        <f>DPR!AI17</f>
        <v>9</v>
      </c>
      <c r="D19" s="47">
        <f>DMI!AI17</f>
        <v>7</v>
      </c>
      <c r="E19" s="81">
        <f>DPE!AI17</f>
        <v>5</v>
      </c>
      <c r="F19" s="42">
        <f>DPZ!AI17</f>
        <v>2</v>
      </c>
      <c r="G19" s="47">
        <f>DFE!AI17</f>
        <v>0</v>
      </c>
      <c r="H19" s="81">
        <f>DGL!AI17</f>
        <v>4</v>
      </c>
      <c r="I19" s="42">
        <f>DGJ!AI17</f>
        <v>2</v>
      </c>
      <c r="K19" s="55">
        <f t="shared" si="0"/>
        <v>29</v>
      </c>
    </row>
    <row r="20" spans="1:11" ht="15.75" customHeight="1" thickBot="1" x14ac:dyDescent="0.3">
      <c r="A20" s="4">
        <v>5</v>
      </c>
      <c r="B20" s="33" t="s">
        <v>10</v>
      </c>
      <c r="C20" s="42">
        <f>DPR!AI18</f>
        <v>2</v>
      </c>
      <c r="D20" s="47">
        <f>DMI!AI18</f>
        <v>1</v>
      </c>
      <c r="E20" s="81">
        <f>DPE!AI18</f>
        <v>2</v>
      </c>
      <c r="F20" s="42">
        <f>DPZ!AI18</f>
        <v>3</v>
      </c>
      <c r="G20" s="47">
        <f>DFE!AI18</f>
        <v>0</v>
      </c>
      <c r="H20" s="81">
        <f>DGL!AI18</f>
        <v>0</v>
      </c>
      <c r="I20" s="42">
        <f>DGJ!AI18</f>
        <v>0</v>
      </c>
      <c r="K20" s="55">
        <f t="shared" si="0"/>
        <v>8</v>
      </c>
    </row>
    <row r="21" spans="1:11" ht="15.75" customHeight="1" thickBot="1" x14ac:dyDescent="0.3">
      <c r="A21" s="4">
        <v>6</v>
      </c>
      <c r="B21" s="33" t="s">
        <v>11</v>
      </c>
      <c r="C21" s="42">
        <f>DPR!AI19</f>
        <v>0</v>
      </c>
      <c r="D21" s="47">
        <f>DMI!AI19</f>
        <v>4</v>
      </c>
      <c r="E21" s="81">
        <f>DPE!AI19</f>
        <v>1</v>
      </c>
      <c r="F21" s="42">
        <f>DPZ!AI19</f>
        <v>6</v>
      </c>
      <c r="G21" s="47">
        <f>DFE!AI19</f>
        <v>0</v>
      </c>
      <c r="H21" s="81">
        <f>DGL!AI19</f>
        <v>0</v>
      </c>
      <c r="I21" s="42">
        <f>DGJ!AI19</f>
        <v>5</v>
      </c>
      <c r="K21" s="55">
        <f t="shared" si="0"/>
        <v>16</v>
      </c>
    </row>
    <row r="22" spans="1:11" ht="15.75" customHeight="1" thickBot="1" x14ac:dyDescent="0.3">
      <c r="A22" s="4">
        <v>7</v>
      </c>
      <c r="B22" s="36" t="s">
        <v>19</v>
      </c>
      <c r="C22" s="42">
        <f>DPR!AI20</f>
        <v>0</v>
      </c>
      <c r="D22" s="47">
        <f>DMI!AI20</f>
        <v>2</v>
      </c>
      <c r="E22" s="81">
        <f>DPE!AI20</f>
        <v>0</v>
      </c>
      <c r="F22" s="42">
        <f>DPZ!AI20</f>
        <v>0</v>
      </c>
      <c r="G22" s="47">
        <f>DFE!AI20</f>
        <v>0</v>
      </c>
      <c r="H22" s="81">
        <f>DGL!AI20</f>
        <v>0</v>
      </c>
      <c r="I22" s="42">
        <f>DGJ!AI20</f>
        <v>0</v>
      </c>
      <c r="K22" s="55">
        <f t="shared" si="0"/>
        <v>2</v>
      </c>
    </row>
    <row r="23" spans="1:11" ht="15.75" customHeight="1" thickBot="1" x14ac:dyDescent="0.3">
      <c r="A23" s="4">
        <v>8</v>
      </c>
      <c r="B23" s="33" t="s">
        <v>20</v>
      </c>
      <c r="C23" s="42">
        <f>DPR!AI21</f>
        <v>0</v>
      </c>
      <c r="D23" s="47">
        <f>DMI!AI21</f>
        <v>0</v>
      </c>
      <c r="E23" s="81">
        <f>DPE!AI21</f>
        <v>0</v>
      </c>
      <c r="F23" s="42">
        <f>DPZ!AI21</f>
        <v>0</v>
      </c>
      <c r="G23" s="47">
        <f>DFE!AI21</f>
        <v>0</v>
      </c>
      <c r="H23" s="81">
        <f>DGL!AI21</f>
        <v>0</v>
      </c>
      <c r="I23" s="42">
        <f>DGJ!AI21</f>
        <v>0</v>
      </c>
      <c r="K23" s="55">
        <f t="shared" si="0"/>
        <v>0</v>
      </c>
    </row>
    <row r="24" spans="1:11" ht="15.75" customHeight="1" thickBot="1" x14ac:dyDescent="0.3">
      <c r="A24" s="4">
        <v>9</v>
      </c>
      <c r="B24" s="33" t="s">
        <v>21</v>
      </c>
      <c r="C24" s="42">
        <f>DPR!AI22</f>
        <v>0</v>
      </c>
      <c r="D24" s="47">
        <f>DMI!AI22</f>
        <v>0</v>
      </c>
      <c r="E24" s="81">
        <f>DPE!AI22</f>
        <v>0</v>
      </c>
      <c r="F24" s="42">
        <f>DPZ!AI22</f>
        <v>0</v>
      </c>
      <c r="G24" s="47">
        <f>DFE!AI22</f>
        <v>0</v>
      </c>
      <c r="H24" s="81">
        <f>DGL!AI22</f>
        <v>1</v>
      </c>
      <c r="I24" s="42">
        <f>DGJ!AI22</f>
        <v>0</v>
      </c>
      <c r="K24" s="55">
        <f t="shared" si="0"/>
        <v>1</v>
      </c>
    </row>
    <row r="25" spans="1:11" ht="15.75" customHeight="1" thickBot="1" x14ac:dyDescent="0.3">
      <c r="A25" s="4">
        <v>10</v>
      </c>
      <c r="B25" s="33" t="s">
        <v>22</v>
      </c>
      <c r="C25" s="42">
        <f>DPR!AI23</f>
        <v>0</v>
      </c>
      <c r="D25" s="47">
        <f>DMI!AI23</f>
        <v>0</v>
      </c>
      <c r="E25" s="81">
        <f>DPE!AI23</f>
        <v>0</v>
      </c>
      <c r="F25" s="42">
        <f>DPZ!AI23</f>
        <v>0</v>
      </c>
      <c r="G25" s="47">
        <f>DFE!AI23</f>
        <v>0</v>
      </c>
      <c r="H25" s="81">
        <f>DGL!AI23</f>
        <v>0</v>
      </c>
      <c r="I25" s="42">
        <f>DGJ!AI23</f>
        <v>4</v>
      </c>
      <c r="K25" s="55">
        <f t="shared" si="0"/>
        <v>4</v>
      </c>
    </row>
    <row r="26" spans="1:11" ht="15.75" customHeight="1" thickBot="1" x14ac:dyDescent="0.3">
      <c r="A26" s="13">
        <v>11</v>
      </c>
      <c r="B26" s="37" t="s">
        <v>23</v>
      </c>
      <c r="C26" s="43">
        <f>DPR!AI24</f>
        <v>28</v>
      </c>
      <c r="D26" s="47">
        <f>DMI!AI24</f>
        <v>3</v>
      </c>
      <c r="E26" s="81">
        <f>DPE!AI24</f>
        <v>11</v>
      </c>
      <c r="F26" s="43">
        <f>DPZ!AI24</f>
        <v>4</v>
      </c>
      <c r="G26" s="47">
        <f>DFE!AI24</f>
        <v>0</v>
      </c>
      <c r="H26" s="81">
        <f>DGL!AI24</f>
        <v>5</v>
      </c>
      <c r="I26" s="43">
        <f>DGJ!AI24</f>
        <v>17</v>
      </c>
      <c r="K26" s="55">
        <f t="shared" si="0"/>
        <v>68</v>
      </c>
    </row>
    <row r="27" spans="1:11" ht="15" customHeight="1" thickBot="1" x14ac:dyDescent="0.3">
      <c r="A27" s="11"/>
      <c r="B27" s="9"/>
      <c r="D27" s="48"/>
      <c r="E27" s="48"/>
      <c r="G27" s="48"/>
      <c r="H27" s="48"/>
      <c r="K27" s="56"/>
    </row>
    <row r="28" spans="1:11" ht="16.5" thickBot="1" x14ac:dyDescent="0.3">
      <c r="A28" s="31"/>
      <c r="B28" s="32" t="s">
        <v>24</v>
      </c>
      <c r="C28" s="80"/>
      <c r="D28" s="80"/>
      <c r="E28" s="80"/>
      <c r="F28" s="80"/>
      <c r="G28" s="80"/>
      <c r="H28" s="80"/>
      <c r="I28" s="85"/>
      <c r="K28" s="56"/>
    </row>
    <row r="29" spans="1:11" ht="15.75" customHeight="1" thickBot="1" x14ac:dyDescent="0.3">
      <c r="A29" s="4">
        <v>1</v>
      </c>
      <c r="B29" s="38" t="s">
        <v>25</v>
      </c>
      <c r="C29" s="86">
        <f>DPR!AI27</f>
        <v>1</v>
      </c>
      <c r="D29" s="50">
        <f>DMI!AI27</f>
        <v>0</v>
      </c>
      <c r="E29" s="50">
        <f>DPE!AI27</f>
        <v>0</v>
      </c>
      <c r="F29" s="50">
        <f>DPZ!AI27</f>
        <v>1</v>
      </c>
      <c r="G29" s="50">
        <f>DFE!AI27</f>
        <v>0</v>
      </c>
      <c r="H29" s="50">
        <f>DGL!AI27</f>
        <v>0</v>
      </c>
      <c r="I29" s="50">
        <f>DGJ!AI27</f>
        <v>2</v>
      </c>
      <c r="K29" s="55">
        <f t="shared" si="0"/>
        <v>4</v>
      </c>
    </row>
    <row r="30" spans="1:11" ht="15.75" customHeight="1" thickBot="1" x14ac:dyDescent="0.3">
      <c r="A30" s="4">
        <v>2</v>
      </c>
      <c r="B30" s="39" t="s">
        <v>26</v>
      </c>
      <c r="C30" s="87">
        <f>DPR!AI28</f>
        <v>16</v>
      </c>
      <c r="D30" s="42">
        <f>DMI!AI28</f>
        <v>2</v>
      </c>
      <c r="E30" s="42">
        <f>DPE!AI28</f>
        <v>1</v>
      </c>
      <c r="F30" s="42">
        <f>DPZ!AI28</f>
        <v>0</v>
      </c>
      <c r="G30" s="42">
        <f>DFE!AI28</f>
        <v>0</v>
      </c>
      <c r="H30" s="42">
        <f>DGL!AI28</f>
        <v>9</v>
      </c>
      <c r="I30" s="42">
        <f>DGJ!AI28</f>
        <v>3</v>
      </c>
      <c r="K30" s="55">
        <f t="shared" si="0"/>
        <v>31</v>
      </c>
    </row>
    <row r="31" spans="1:11" ht="15.75" customHeight="1" thickBot="1" x14ac:dyDescent="0.3">
      <c r="A31" s="4">
        <v>3</v>
      </c>
      <c r="B31" s="39" t="s">
        <v>27</v>
      </c>
      <c r="C31" s="87">
        <f>DPR!AI29</f>
        <v>14</v>
      </c>
      <c r="D31" s="42">
        <f>DMI!AI29</f>
        <v>0</v>
      </c>
      <c r="E31" s="42">
        <f>DPE!AI29</f>
        <v>1</v>
      </c>
      <c r="F31" s="42">
        <f>DPZ!AI29</f>
        <v>28</v>
      </c>
      <c r="G31" s="42">
        <f>DFE!AI29</f>
        <v>0</v>
      </c>
      <c r="H31" s="42">
        <f>DGL!AI29</f>
        <v>0</v>
      </c>
      <c r="I31" s="42">
        <f>DGJ!AI29</f>
        <v>54</v>
      </c>
      <c r="K31" s="55">
        <f t="shared" si="0"/>
        <v>97</v>
      </c>
    </row>
    <row r="32" spans="1:11" ht="15.75" customHeight="1" thickBot="1" x14ac:dyDescent="0.3">
      <c r="A32" s="4">
        <v>4</v>
      </c>
      <c r="B32" s="39" t="s">
        <v>28</v>
      </c>
      <c r="C32" s="87">
        <f>DPR!AI30</f>
        <v>0</v>
      </c>
      <c r="D32" s="42">
        <f>DMI!AI30</f>
        <v>2</v>
      </c>
      <c r="E32" s="42">
        <f>DPE!AI30</f>
        <v>0</v>
      </c>
      <c r="F32" s="42">
        <f>DPZ!AI30</f>
        <v>4</v>
      </c>
      <c r="G32" s="42">
        <f>DFE!AI30</f>
        <v>0</v>
      </c>
      <c r="H32" s="42">
        <f>DGL!AI30</f>
        <v>1</v>
      </c>
      <c r="I32" s="42">
        <f>DGJ!AI30</f>
        <v>0</v>
      </c>
      <c r="K32" s="55">
        <f t="shared" si="0"/>
        <v>7</v>
      </c>
    </row>
    <row r="33" spans="1:11" ht="15.75" customHeight="1" thickBot="1" x14ac:dyDescent="0.3">
      <c r="A33" s="13">
        <v>5</v>
      </c>
      <c r="B33" s="40" t="s">
        <v>29</v>
      </c>
      <c r="C33" s="88">
        <f>DPR!AI31</f>
        <v>59</v>
      </c>
      <c r="D33" s="43">
        <f>DMI!AI31</f>
        <v>141</v>
      </c>
      <c r="E33" s="43">
        <f>DPE!AI31</f>
        <v>31</v>
      </c>
      <c r="F33" s="43">
        <f>DPZ!AI31</f>
        <v>247</v>
      </c>
      <c r="G33" s="43">
        <f>DFE!AI31</f>
        <v>6</v>
      </c>
      <c r="H33" s="43">
        <f>DGL!AI31</f>
        <v>266</v>
      </c>
      <c r="I33" s="43">
        <f>DGJ!AI31</f>
        <v>46</v>
      </c>
      <c r="K33" s="55">
        <f t="shared" si="0"/>
        <v>796</v>
      </c>
    </row>
    <row r="35" spans="1:11" x14ac:dyDescent="0.25">
      <c r="B35" s="24" t="s">
        <v>44</v>
      </c>
      <c r="C35" s="23">
        <f>SUM(C5:C13,C16:C26,C29:C33)</f>
        <v>587</v>
      </c>
      <c r="D35" s="23">
        <f t="shared" ref="D35:I35" si="1">SUM(D5:D13,D16:D26,D29:D33)</f>
        <v>417</v>
      </c>
      <c r="E35" s="23">
        <f t="shared" si="1"/>
        <v>504</v>
      </c>
      <c r="F35" s="23">
        <f t="shared" si="1"/>
        <v>492</v>
      </c>
      <c r="G35" s="23">
        <f t="shared" si="1"/>
        <v>11</v>
      </c>
      <c r="H35" s="23">
        <f t="shared" si="1"/>
        <v>475</v>
      </c>
      <c r="I35" s="23">
        <f t="shared" si="1"/>
        <v>338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D7E4-ECB3-4A72-BC30-1CEDC51BAD33}">
  <dimension ref="A1:AF9"/>
  <sheetViews>
    <sheetView workbookViewId="0">
      <selection activeCell="N17" sqref="N17"/>
    </sheetView>
  </sheetViews>
  <sheetFormatPr defaultRowHeight="15" x14ac:dyDescent="0.25"/>
  <cols>
    <col min="2" max="32" width="5.5703125" customWidth="1"/>
  </cols>
  <sheetData>
    <row r="1" spans="1:32" ht="15.75" thickBot="1" x14ac:dyDescent="0.3">
      <c r="A1" s="178" t="s">
        <v>45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</row>
    <row r="2" spans="1:32" ht="15.75" thickBot="1" x14ac:dyDescent="0.3">
      <c r="B2" s="89">
        <v>1</v>
      </c>
      <c r="C2" s="89">
        <v>2</v>
      </c>
      <c r="D2" s="89">
        <v>3</v>
      </c>
      <c r="E2" s="89">
        <v>4</v>
      </c>
      <c r="F2" s="89">
        <v>5</v>
      </c>
      <c r="G2" s="89">
        <v>6</v>
      </c>
      <c r="H2" s="89">
        <v>7</v>
      </c>
      <c r="I2" s="89">
        <v>8</v>
      </c>
      <c r="J2" s="89">
        <v>9</v>
      </c>
      <c r="K2" s="89">
        <v>10</v>
      </c>
      <c r="L2" s="89">
        <v>11</v>
      </c>
      <c r="M2" s="89">
        <v>12</v>
      </c>
      <c r="N2" s="89">
        <v>13</v>
      </c>
      <c r="O2" s="89">
        <v>14</v>
      </c>
      <c r="P2" s="89">
        <v>15</v>
      </c>
      <c r="Q2" s="89">
        <v>16</v>
      </c>
      <c r="R2" s="89">
        <v>17</v>
      </c>
      <c r="S2" s="89">
        <v>18</v>
      </c>
      <c r="T2" s="89">
        <v>19</v>
      </c>
      <c r="U2" s="89">
        <v>20</v>
      </c>
      <c r="V2" s="89">
        <v>21</v>
      </c>
      <c r="W2" s="89">
        <v>22</v>
      </c>
      <c r="X2" s="89">
        <v>23</v>
      </c>
      <c r="Y2" s="89">
        <v>24</v>
      </c>
      <c r="Z2" s="89">
        <v>25</v>
      </c>
      <c r="AA2" s="89">
        <v>26</v>
      </c>
      <c r="AB2" s="89">
        <v>27</v>
      </c>
      <c r="AC2" s="89">
        <v>28</v>
      </c>
      <c r="AD2" s="89">
        <v>29</v>
      </c>
      <c r="AE2" s="89">
        <v>30</v>
      </c>
      <c r="AF2" s="90">
        <v>31</v>
      </c>
    </row>
    <row r="3" spans="1:32" x14ac:dyDescent="0.25">
      <c r="A3" s="91" t="s">
        <v>36</v>
      </c>
      <c r="B3" s="97">
        <f>'01.07.2026'!C3</f>
        <v>4</v>
      </c>
      <c r="C3" s="97">
        <f>'02.07.2026'!C3</f>
        <v>3</v>
      </c>
      <c r="D3" s="97">
        <f>'03.07.2026'!C3</f>
        <v>3</v>
      </c>
      <c r="E3" s="92">
        <f>'04.07.2026'!C3</f>
        <v>3</v>
      </c>
      <c r="F3" s="92"/>
      <c r="G3" s="97">
        <f>'06.07.2026'!C3</f>
        <v>4</v>
      </c>
      <c r="H3" s="97">
        <f>'07.07.2026'!C3</f>
        <v>4</v>
      </c>
      <c r="I3" s="97">
        <f>'08.07.2026'!C3</f>
        <v>4</v>
      </c>
      <c r="J3" s="97">
        <f>'09.07.2026'!C3</f>
        <v>4</v>
      </c>
      <c r="K3" s="97">
        <f>'10.07.2026'!C3</f>
        <v>4</v>
      </c>
      <c r="L3" s="92">
        <f>'11.07.2026'!C3</f>
        <v>0</v>
      </c>
      <c r="M3" s="92"/>
      <c r="N3" s="97">
        <f>'13.07.2026'!C3</f>
        <v>4</v>
      </c>
      <c r="O3" s="97">
        <f>'14.07.2026'!C3</f>
        <v>4</v>
      </c>
      <c r="P3" s="97">
        <f>'15.07.2026'!C3</f>
        <v>3</v>
      </c>
      <c r="Q3" s="97">
        <f>'16.07.2026'!C3</f>
        <v>3</v>
      </c>
      <c r="R3" s="97">
        <f>'17.07.2026'!C3</f>
        <v>3</v>
      </c>
      <c r="S3" s="92">
        <f>'18.07.2026'!C3</f>
        <v>0</v>
      </c>
      <c r="T3" s="92"/>
      <c r="U3" s="97">
        <f>'20.07.2026'!C3</f>
        <v>3</v>
      </c>
      <c r="V3" s="97">
        <f>'21.07.2026'!C3</f>
        <v>3</v>
      </c>
      <c r="W3" s="97">
        <f>'22.07.2026'!C3</f>
        <v>3</v>
      </c>
      <c r="X3" s="97">
        <f>'23.07.2026'!C3</f>
        <v>3</v>
      </c>
      <c r="Y3" s="97">
        <f>'24.07.2026'!C3</f>
        <v>3</v>
      </c>
      <c r="Z3" s="92">
        <f>'25.07.2026'!C3</f>
        <v>0</v>
      </c>
      <c r="AA3" s="92"/>
      <c r="AB3" s="97">
        <f>'27.07.2026'!C3</f>
        <v>3</v>
      </c>
      <c r="AC3" s="97">
        <f>'28.07.2026'!C3</f>
        <v>3</v>
      </c>
      <c r="AD3" s="97">
        <f>'29.07.2026'!C3</f>
        <v>3</v>
      </c>
      <c r="AE3" s="97">
        <f>'30.07.2026'!C3</f>
        <v>3</v>
      </c>
      <c r="AF3" s="98">
        <f>'31.07.2026'!C3</f>
        <v>3</v>
      </c>
    </row>
    <row r="4" spans="1:32" x14ac:dyDescent="0.25">
      <c r="A4" s="93" t="s">
        <v>37</v>
      </c>
      <c r="B4" s="2">
        <f>'01.07.2026'!D3</f>
        <v>2</v>
      </c>
      <c r="C4" s="2">
        <f>'02.07.2026'!D3</f>
        <v>2</v>
      </c>
      <c r="D4" s="2">
        <f>'03.07.2026'!D3</f>
        <v>2</v>
      </c>
      <c r="E4" s="94">
        <f>'04.07.2026'!D3</f>
        <v>1</v>
      </c>
      <c r="F4" s="94"/>
      <c r="G4" s="2">
        <f>'06.07.2026'!D3</f>
        <v>2</v>
      </c>
      <c r="H4" s="2">
        <f>'07.07.2026'!D3</f>
        <v>2</v>
      </c>
      <c r="I4" s="2">
        <f>'08.07.2026'!D3</f>
        <v>2</v>
      </c>
      <c r="J4" s="2">
        <f>'09.07.2026'!D3</f>
        <v>2</v>
      </c>
      <c r="K4" s="2">
        <f>'10.07.2026'!D3</f>
        <v>2</v>
      </c>
      <c r="L4" s="94">
        <f>'11.07.2026'!D3</f>
        <v>0</v>
      </c>
      <c r="M4" s="94"/>
      <c r="N4" s="2">
        <f>'13.07.2026'!D3</f>
        <v>2</v>
      </c>
      <c r="O4" s="2">
        <f>'14.07.2026'!D3</f>
        <v>2</v>
      </c>
      <c r="P4" s="2">
        <f>'15.07.2026'!D3</f>
        <v>2</v>
      </c>
      <c r="Q4" s="2">
        <f>'16.07.2026'!D3</f>
        <v>2</v>
      </c>
      <c r="R4" s="2">
        <f>'17.07.2026'!D3</f>
        <v>2</v>
      </c>
      <c r="S4" s="94">
        <f>'18.07.2026'!D3</f>
        <v>0</v>
      </c>
      <c r="T4" s="94"/>
      <c r="U4" s="2">
        <f>'20.07.2026'!D3</f>
        <v>2</v>
      </c>
      <c r="V4" s="2">
        <f>'21.07.2026'!D3</f>
        <v>2</v>
      </c>
      <c r="W4" s="2">
        <f>'22.07.2026'!D3</f>
        <v>2</v>
      </c>
      <c r="X4" s="2">
        <f>'23.07.2026'!D3</f>
        <v>2</v>
      </c>
      <c r="Y4" s="2">
        <f>'24.07.2026'!D3</f>
        <v>2</v>
      </c>
      <c r="Z4" s="94">
        <f>'25.07.2026'!D3</f>
        <v>0</v>
      </c>
      <c r="AA4" s="94"/>
      <c r="AB4" s="2">
        <f>'27.07.2026'!D3</f>
        <v>2</v>
      </c>
      <c r="AC4" s="2">
        <f>'28.07.2026'!D3</f>
        <v>2</v>
      </c>
      <c r="AD4" s="2">
        <f>'29.07.2026'!D3</f>
        <v>2</v>
      </c>
      <c r="AE4" s="2">
        <f>'30.07.2026'!D3</f>
        <v>2</v>
      </c>
      <c r="AF4" s="58">
        <f>'31.07.2026'!D3</f>
        <v>2</v>
      </c>
    </row>
    <row r="5" spans="1:32" x14ac:dyDescent="0.25">
      <c r="A5" s="93" t="s">
        <v>38</v>
      </c>
      <c r="B5" s="2">
        <f>'01.07.2026'!E3</f>
        <v>2</v>
      </c>
      <c r="C5" s="2">
        <f>'02.07.2026'!E3</f>
        <v>2</v>
      </c>
      <c r="D5" s="2">
        <f>'03.07.2026'!E3</f>
        <v>1</v>
      </c>
      <c r="E5" s="94">
        <f>'04.07.2026'!E3</f>
        <v>1</v>
      </c>
      <c r="F5" s="94"/>
      <c r="G5" s="2">
        <f>'06.07.2026'!E3</f>
        <v>2</v>
      </c>
      <c r="H5" s="2">
        <f>'07.07.2026'!E3</f>
        <v>2</v>
      </c>
      <c r="I5" s="2">
        <f>'08.07.2026'!E3</f>
        <v>2</v>
      </c>
      <c r="J5" s="2">
        <f>'09.07.2026'!E3</f>
        <v>1</v>
      </c>
      <c r="K5" s="2">
        <f>'10.07.2026'!E3</f>
        <v>2</v>
      </c>
      <c r="L5" s="94">
        <f>'11.07.2026'!E3</f>
        <v>0</v>
      </c>
      <c r="M5" s="94"/>
      <c r="N5" s="2">
        <f>'13.07.2026'!E3</f>
        <v>2</v>
      </c>
      <c r="O5" s="2">
        <f>'14.07.2026'!E3</f>
        <v>2</v>
      </c>
      <c r="P5" s="2">
        <f>'15.07.2026'!E3</f>
        <v>2</v>
      </c>
      <c r="Q5" s="2">
        <f>'16.07.2026'!E3</f>
        <v>2</v>
      </c>
      <c r="R5" s="2">
        <f>'17.07.2026'!E3</f>
        <v>2</v>
      </c>
      <c r="S5" s="94">
        <f>'18.07.2026'!E3</f>
        <v>0</v>
      </c>
      <c r="T5" s="94"/>
      <c r="U5" s="2">
        <f>'20.07.2026'!E3</f>
        <v>2</v>
      </c>
      <c r="V5" s="2">
        <f>'21.07.2026'!E3</f>
        <v>2</v>
      </c>
      <c r="W5" s="2">
        <f>'22.07.2026'!E3</f>
        <v>2</v>
      </c>
      <c r="X5" s="2">
        <f>'23.07.2026'!E3</f>
        <v>2</v>
      </c>
      <c r="Y5" s="2">
        <f>'24.07.2026'!E3</f>
        <v>2</v>
      </c>
      <c r="Z5" s="94">
        <f>'25.07.2026'!E3</f>
        <v>0</v>
      </c>
      <c r="AA5" s="94"/>
      <c r="AB5" s="2">
        <f>'27.07.2026'!E3</f>
        <v>2</v>
      </c>
      <c r="AC5" s="2">
        <f>'28.07.2026'!E3</f>
        <v>2</v>
      </c>
      <c r="AD5" s="2">
        <f>'29.07.2026'!E3</f>
        <v>2</v>
      </c>
      <c r="AE5" s="2">
        <f>'30.07.2026'!E3</f>
        <v>2</v>
      </c>
      <c r="AF5" s="58">
        <f>'31.07.2026'!E3</f>
        <v>2</v>
      </c>
    </row>
    <row r="6" spans="1:32" x14ac:dyDescent="0.25">
      <c r="A6" s="93" t="s">
        <v>39</v>
      </c>
      <c r="B6" s="2">
        <f>'01.07.2026'!F3</f>
        <v>1</v>
      </c>
      <c r="C6" s="2">
        <f>'02.07.2026'!F3</f>
        <v>1</v>
      </c>
      <c r="D6" s="2">
        <f>'03.07.2026'!F3</f>
        <v>1</v>
      </c>
      <c r="E6" s="94">
        <f>'04.07.2026'!F3</f>
        <v>1</v>
      </c>
      <c r="F6" s="94"/>
      <c r="G6" s="2">
        <f>'06.07.2026'!F3</f>
        <v>2</v>
      </c>
      <c r="H6" s="2">
        <f>'07.07.2026'!F3</f>
        <v>2</v>
      </c>
      <c r="I6" s="2">
        <f>'08.07.2026'!F3</f>
        <v>2</v>
      </c>
      <c r="J6" s="2">
        <f>'09.07.2026'!F3</f>
        <v>2</v>
      </c>
      <c r="K6" s="2">
        <f>'10.07.2026'!F3</f>
        <v>2</v>
      </c>
      <c r="L6" s="94">
        <f>'11.07.2026'!F3</f>
        <v>1</v>
      </c>
      <c r="M6" s="94"/>
      <c r="N6" s="2">
        <f>'13.07.2026'!F3</f>
        <v>1</v>
      </c>
      <c r="O6" s="2">
        <f>'14.07.2026'!F3</f>
        <v>1</v>
      </c>
      <c r="P6" s="2">
        <f>'15.07.2026'!F3</f>
        <v>1</v>
      </c>
      <c r="Q6" s="2">
        <f>'16.07.2026'!F3</f>
        <v>1</v>
      </c>
      <c r="R6" s="2">
        <f>'17.07.2026'!F3</f>
        <v>1</v>
      </c>
      <c r="S6" s="94">
        <f>'18.07.2026'!F3</f>
        <v>1</v>
      </c>
      <c r="T6" s="94"/>
      <c r="U6" s="2">
        <f>'20.07.2026'!F3</f>
        <v>1</v>
      </c>
      <c r="V6" s="2">
        <f>'21.07.2026'!F3</f>
        <v>1</v>
      </c>
      <c r="W6" s="2">
        <f>'22.07.2026'!F3</f>
        <v>2</v>
      </c>
      <c r="X6" s="2">
        <f>'23.07.2026'!F3</f>
        <v>2</v>
      </c>
      <c r="Y6" s="2">
        <f>'24.07.2026'!F3</f>
        <v>2</v>
      </c>
      <c r="Z6" s="94">
        <f>'25.07.2026'!F3</f>
        <v>1</v>
      </c>
      <c r="AA6" s="94"/>
      <c r="AB6" s="2">
        <f>'27.07.2026'!F3</f>
        <v>1</v>
      </c>
      <c r="AC6" s="2">
        <f>'28.07.2026'!F3</f>
        <v>2</v>
      </c>
      <c r="AD6" s="2">
        <f>'29.07.2026'!F3</f>
        <v>2</v>
      </c>
      <c r="AE6" s="2">
        <f>'30.07.2026'!F3</f>
        <v>1</v>
      </c>
      <c r="AF6" s="58">
        <f>'31.07.2026'!F3</f>
        <v>1</v>
      </c>
    </row>
    <row r="7" spans="1:32" x14ac:dyDescent="0.25">
      <c r="A7" s="93" t="s">
        <v>40</v>
      </c>
      <c r="B7" s="2">
        <f>'01.07.2026'!G3</f>
        <v>1</v>
      </c>
      <c r="C7" s="2">
        <f>'02.07.2026'!G3</f>
        <v>0</v>
      </c>
      <c r="D7" s="2">
        <f>'03.07.2026'!G3</f>
        <v>0</v>
      </c>
      <c r="E7" s="94">
        <f>'04.07.2026'!G3</f>
        <v>0</v>
      </c>
      <c r="F7" s="94"/>
      <c r="G7" s="2">
        <f>'06.07.2026'!G3</f>
        <v>0</v>
      </c>
      <c r="H7" s="2">
        <f>'07.07.2026'!G3</f>
        <v>0</v>
      </c>
      <c r="I7" s="2">
        <f>'08.07.2026'!G3</f>
        <v>0</v>
      </c>
      <c r="J7" s="2">
        <f>'09.07.2026'!G3</f>
        <v>0</v>
      </c>
      <c r="K7" s="2">
        <f>'10.07.2026'!G3</f>
        <v>0</v>
      </c>
      <c r="L7" s="94">
        <f>'11.07.2026'!G3</f>
        <v>0</v>
      </c>
      <c r="M7" s="94"/>
      <c r="N7" s="2">
        <f>'13.07.2026'!G3</f>
        <v>0</v>
      </c>
      <c r="O7" s="2">
        <f>'14.07.2026'!G3</f>
        <v>0</v>
      </c>
      <c r="P7" s="2">
        <f>'15.07.2026'!G3</f>
        <v>0</v>
      </c>
      <c r="Q7" s="2">
        <f>'16.07.2026'!G3</f>
        <v>0</v>
      </c>
      <c r="R7" s="2">
        <f>'17.07.2026'!G3</f>
        <v>0</v>
      </c>
      <c r="S7" s="94">
        <f>'18.07.2026'!G3</f>
        <v>0</v>
      </c>
      <c r="T7" s="94"/>
      <c r="U7" s="2">
        <f>'20.07.2026'!G3</f>
        <v>0</v>
      </c>
      <c r="V7" s="2">
        <f>'21.07.2026'!G3</f>
        <v>0</v>
      </c>
      <c r="W7" s="2">
        <f>'22.07.2026'!G3</f>
        <v>0</v>
      </c>
      <c r="X7" s="2">
        <f>'23.07.2026'!G3</f>
        <v>0</v>
      </c>
      <c r="Y7" s="2">
        <f>'24.07.2026'!G3</f>
        <v>0</v>
      </c>
      <c r="Z7" s="94">
        <f>'25.07.2026'!G3</f>
        <v>0</v>
      </c>
      <c r="AA7" s="94"/>
      <c r="AB7" s="2">
        <f>'27.07.2026'!G3</f>
        <v>0</v>
      </c>
      <c r="AC7" s="2">
        <f>'28.07.2026'!G3</f>
        <v>0</v>
      </c>
      <c r="AD7" s="2">
        <f>'29.07.2026'!G3</f>
        <v>0</v>
      </c>
      <c r="AE7" s="2">
        <f>'30.07.2026'!G3</f>
        <v>0</v>
      </c>
      <c r="AF7" s="58">
        <f>'31.07.2026'!G3</f>
        <v>0</v>
      </c>
    </row>
    <row r="8" spans="1:32" x14ac:dyDescent="0.25">
      <c r="A8" s="93" t="s">
        <v>41</v>
      </c>
      <c r="B8" s="2">
        <f>'01.07.2026'!H3</f>
        <v>2</v>
      </c>
      <c r="C8" s="2">
        <f>'02.07.2026'!H3</f>
        <v>2</v>
      </c>
      <c r="D8" s="2">
        <f>'03.07.2026'!H3</f>
        <v>2</v>
      </c>
      <c r="E8" s="94">
        <f>'04.07.2026'!H3</f>
        <v>0</v>
      </c>
      <c r="F8" s="94"/>
      <c r="G8" s="2">
        <f>'06.07.2026'!H3</f>
        <v>2</v>
      </c>
      <c r="H8" s="2">
        <f>'07.07.2026'!H3</f>
        <v>2</v>
      </c>
      <c r="I8" s="2">
        <f>'08.07.2026'!H3</f>
        <v>2</v>
      </c>
      <c r="J8" s="2">
        <f>'09.07.2026'!H3</f>
        <v>2</v>
      </c>
      <c r="K8" s="2">
        <f>'10.07.2026'!H3</f>
        <v>2</v>
      </c>
      <c r="L8" s="94">
        <f>'11.07.2026'!H3</f>
        <v>0</v>
      </c>
      <c r="M8" s="94"/>
      <c r="N8" s="2">
        <f>'13.07.2026'!H3</f>
        <v>2</v>
      </c>
      <c r="O8" s="2">
        <f>'14.07.2026'!H3</f>
        <v>2</v>
      </c>
      <c r="P8" s="2">
        <f>'15.07.2026'!H3</f>
        <v>2</v>
      </c>
      <c r="Q8" s="2">
        <f>'16.07.2026'!H3</f>
        <v>2</v>
      </c>
      <c r="R8" s="2">
        <f>'17.07.2026'!H3</f>
        <v>2</v>
      </c>
      <c r="S8" s="94">
        <f>'18.07.2026'!H3</f>
        <v>0</v>
      </c>
      <c r="T8" s="94"/>
      <c r="U8" s="2">
        <f>'20.07.2026'!H3</f>
        <v>2</v>
      </c>
      <c r="V8" s="2">
        <f>'21.07.2026'!H3</f>
        <v>2</v>
      </c>
      <c r="W8" s="2">
        <f>'22.07.2026'!H3</f>
        <v>2</v>
      </c>
      <c r="X8" s="2">
        <f>'23.07.2026'!H3</f>
        <v>2</v>
      </c>
      <c r="Y8" s="2">
        <f>'24.07.2026'!H3</f>
        <v>2</v>
      </c>
      <c r="Z8" s="94">
        <f>'25.07.2026'!H3</f>
        <v>0</v>
      </c>
      <c r="AA8" s="94"/>
      <c r="AB8" s="2">
        <f>'27.07.2026'!H3</f>
        <v>2</v>
      </c>
      <c r="AC8" s="2">
        <f>'28.07.2026'!H3</f>
        <v>2</v>
      </c>
      <c r="AD8" s="2">
        <f>'29.07.2026'!H3</f>
        <v>2</v>
      </c>
      <c r="AE8" s="2">
        <f>'30.07.2026'!H3</f>
        <v>2</v>
      </c>
      <c r="AF8" s="58">
        <f>'31.07.2026'!H3</f>
        <v>2</v>
      </c>
    </row>
    <row r="9" spans="1:32" ht="15.75" thickBot="1" x14ac:dyDescent="0.3">
      <c r="A9" s="95" t="s">
        <v>42</v>
      </c>
      <c r="B9" s="5">
        <f>'01.07.2026'!I3</f>
        <v>2</v>
      </c>
      <c r="C9" s="5">
        <f>'02.07.2026'!I3</f>
        <v>2</v>
      </c>
      <c r="D9" s="5">
        <f>'03.07.2026'!I3</f>
        <v>2</v>
      </c>
      <c r="E9" s="96">
        <f>'04.07.2026'!I3</f>
        <v>1</v>
      </c>
      <c r="F9" s="96"/>
      <c r="G9" s="5">
        <f>'06.07.2026'!I3</f>
        <v>2</v>
      </c>
      <c r="H9" s="5">
        <f>'07.07.2026'!I3</f>
        <v>1</v>
      </c>
      <c r="I9" s="5">
        <f>'08.07.2026'!I3</f>
        <v>2</v>
      </c>
      <c r="J9" s="5">
        <f>'09.07.2026'!I3</f>
        <v>1</v>
      </c>
      <c r="K9" s="5">
        <f>'10.07.2026'!I3</f>
        <v>2</v>
      </c>
      <c r="L9" s="96">
        <f>'11.07.2026'!I3</f>
        <v>2</v>
      </c>
      <c r="M9" s="96"/>
      <c r="N9" s="5">
        <f>'13.07.2026'!I3</f>
        <v>1</v>
      </c>
      <c r="O9" s="5">
        <f>'14.07.2026'!I3</f>
        <v>1</v>
      </c>
      <c r="P9" s="5">
        <f>'15.07.2026'!I3</f>
        <v>1</v>
      </c>
      <c r="Q9" s="5">
        <f>'16.07.2026'!I3</f>
        <v>1</v>
      </c>
      <c r="R9" s="5">
        <f>'17.07.2026'!I3</f>
        <v>1</v>
      </c>
      <c r="S9" s="96">
        <f>'18.07.2026'!I3</f>
        <v>1</v>
      </c>
      <c r="T9" s="96"/>
      <c r="U9" s="5">
        <f>'20.07.2026'!I3</f>
        <v>1</v>
      </c>
      <c r="V9" s="5">
        <f>'21.07.2026'!I3</f>
        <v>1</v>
      </c>
      <c r="W9" s="5">
        <f>'22.07.2026'!I3</f>
        <v>1</v>
      </c>
      <c r="X9" s="5">
        <f>'23.07.2026'!I3</f>
        <v>1</v>
      </c>
      <c r="Y9" s="5">
        <f>'24.07.2026'!I3</f>
        <v>1</v>
      </c>
      <c r="Z9" s="96">
        <f>'25.07.2026'!I3</f>
        <v>1</v>
      </c>
      <c r="AA9" s="96"/>
      <c r="AB9" s="5">
        <f>'27.07.2026'!I3</f>
        <v>2</v>
      </c>
      <c r="AC9" s="5">
        <f>'28.07.2026'!I3</f>
        <v>2</v>
      </c>
      <c r="AD9" s="5">
        <f>'29.07.2026'!I3</f>
        <v>2</v>
      </c>
      <c r="AE9" s="5">
        <f>'30.07.2026'!I3</f>
        <v>2</v>
      </c>
      <c r="AF9" s="59">
        <f>'31.07.2026'!I3</f>
        <v>2</v>
      </c>
    </row>
  </sheetData>
  <mergeCells count="1">
    <mergeCell ref="A1:A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66FE-BA81-4D48-8365-E53F7E8BB0EA}">
  <sheetPr codeName="Sheet2">
    <pageSetUpPr fitToPage="1"/>
  </sheetPr>
  <dimension ref="A1:Z35"/>
  <sheetViews>
    <sheetView workbookViewId="0">
      <selection activeCell="F33" sqref="F3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28" width="5.7109375" style="99" customWidth="1"/>
    <col min="29" max="16384" width="9.140625" style="99"/>
  </cols>
  <sheetData>
    <row r="1" spans="1:26" ht="15.75" thickBot="1" x14ac:dyDescent="0.3"/>
    <row r="2" spans="1:26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1</v>
      </c>
      <c r="G3" s="106">
        <v>1</v>
      </c>
      <c r="H3" s="106">
        <v>2</v>
      </c>
      <c r="I3" s="107">
        <v>2</v>
      </c>
      <c r="J3" s="101"/>
      <c r="K3" s="160">
        <f t="shared" ref="K3:Q3" si="0">K35/C3</f>
        <v>5.125</v>
      </c>
      <c r="L3" s="160">
        <f t="shared" si="0"/>
        <v>5</v>
      </c>
      <c r="M3" s="160">
        <f t="shared" si="0"/>
        <v>5.541666666666667</v>
      </c>
      <c r="N3" s="160">
        <f t="shared" si="0"/>
        <v>17.833333333333332</v>
      </c>
      <c r="O3" s="160">
        <f t="shared" si="0"/>
        <v>4.666666666666667</v>
      </c>
      <c r="P3" s="160">
        <f t="shared" si="0"/>
        <v>5</v>
      </c>
      <c r="Q3" s="160">
        <f t="shared" si="0"/>
        <v>5.6666666666666661</v>
      </c>
      <c r="R3" s="101"/>
      <c r="S3" s="101"/>
      <c r="T3" s="101"/>
      <c r="U3" s="101"/>
      <c r="V3" s="101"/>
      <c r="W3" s="101"/>
      <c r="X3" s="101"/>
      <c r="Y3" s="101"/>
      <c r="Z3" s="101"/>
    </row>
    <row r="4" spans="1:26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26" ht="15.75" customHeight="1" x14ac:dyDescent="0.25">
      <c r="A5" s="113">
        <v>1</v>
      </c>
      <c r="B5" s="114" t="s">
        <v>4</v>
      </c>
      <c r="C5" s="115"/>
      <c r="D5" s="115"/>
      <c r="E5" s="115">
        <v>3</v>
      </c>
      <c r="F5" s="115"/>
      <c r="G5" s="115"/>
      <c r="H5" s="115"/>
      <c r="I5" s="116">
        <v>8</v>
      </c>
      <c r="K5" s="163">
        <f>C5*0.75</f>
        <v>0</v>
      </c>
      <c r="L5" s="163">
        <f t="shared" ref="L5:Q7" si="1">D5*0.75</f>
        <v>0</v>
      </c>
      <c r="M5" s="163">
        <f t="shared" si="1"/>
        <v>2.25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6</v>
      </c>
    </row>
    <row r="6" spans="1:26" ht="15.75" customHeight="1" x14ac:dyDescent="0.25">
      <c r="A6" s="117">
        <v>2</v>
      </c>
      <c r="B6" s="118" t="s">
        <v>5</v>
      </c>
      <c r="C6" s="119"/>
      <c r="D6" s="119"/>
      <c r="E6" s="119"/>
      <c r="F6" s="119"/>
      <c r="G6" s="119"/>
      <c r="H6" s="119"/>
      <c r="I6" s="12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26" ht="15.75" customHeight="1" x14ac:dyDescent="0.25">
      <c r="A7" s="117">
        <v>3</v>
      </c>
      <c r="B7" s="118" t="s">
        <v>6</v>
      </c>
      <c r="C7" s="119"/>
      <c r="D7" s="119"/>
      <c r="E7" s="119"/>
      <c r="F7" s="119"/>
      <c r="G7" s="119"/>
      <c r="H7" s="119"/>
      <c r="I7" s="12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26" ht="15.75" customHeight="1" x14ac:dyDescent="0.25">
      <c r="A8" s="117">
        <v>4</v>
      </c>
      <c r="B8" s="118" t="s">
        <v>7</v>
      </c>
      <c r="C8" s="119"/>
      <c r="D8" s="119"/>
      <c r="E8" s="119"/>
      <c r="F8" s="119"/>
      <c r="G8" s="119"/>
      <c r="H8" s="119"/>
      <c r="I8" s="120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>G8</f>
        <v>0</v>
      </c>
      <c r="P8" s="164">
        <f t="shared" si="3"/>
        <v>0</v>
      </c>
      <c r="Q8" s="164">
        <f t="shared" si="3"/>
        <v>0</v>
      </c>
    </row>
    <row r="9" spans="1:26" ht="15.75" customHeight="1" x14ac:dyDescent="0.25">
      <c r="A9" s="117">
        <v>5</v>
      </c>
      <c r="B9" s="118" t="s">
        <v>8</v>
      </c>
      <c r="C9" s="119"/>
      <c r="D9" s="119"/>
      <c r="E9" s="119"/>
      <c r="F9" s="119"/>
      <c r="G9" s="119"/>
      <c r="H9" s="119"/>
      <c r="I9" s="120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26" ht="15.75" customHeight="1" x14ac:dyDescent="0.25">
      <c r="A10" s="117">
        <v>6</v>
      </c>
      <c r="B10" s="118" t="s">
        <v>9</v>
      </c>
      <c r="C10" s="119"/>
      <c r="D10" s="119"/>
      <c r="E10" s="119"/>
      <c r="F10" s="119"/>
      <c r="G10" s="119"/>
      <c r="H10" s="119"/>
      <c r="I10" s="12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26" ht="15.75" customHeight="1" x14ac:dyDescent="0.25">
      <c r="A11" s="117">
        <v>7</v>
      </c>
      <c r="B11" s="118" t="s">
        <v>10</v>
      </c>
      <c r="C11" s="119"/>
      <c r="D11" s="119"/>
      <c r="E11" s="119"/>
      <c r="F11" s="119"/>
      <c r="G11" s="119"/>
      <c r="H11" s="119"/>
      <c r="I11" s="12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26" ht="15.75" customHeight="1" x14ac:dyDescent="0.25">
      <c r="A12" s="117">
        <v>8</v>
      </c>
      <c r="B12" s="118" t="s">
        <v>11</v>
      </c>
      <c r="C12" s="119">
        <v>7</v>
      </c>
      <c r="D12" s="119">
        <v>2</v>
      </c>
      <c r="E12" s="119"/>
      <c r="F12" s="119">
        <v>9</v>
      </c>
      <c r="G12" s="119"/>
      <c r="H12" s="119"/>
      <c r="I12" s="120"/>
      <c r="K12" s="164">
        <f>C12/2</f>
        <v>3.5</v>
      </c>
      <c r="L12" s="164">
        <f t="shared" ref="L12:Q12" si="6">D12/2</f>
        <v>1</v>
      </c>
      <c r="M12" s="164">
        <f t="shared" si="6"/>
        <v>0</v>
      </c>
      <c r="N12" s="164">
        <f t="shared" si="6"/>
        <v>4.5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26" ht="15.75" customHeight="1" thickBot="1" x14ac:dyDescent="0.3">
      <c r="A13" s="122">
        <v>9</v>
      </c>
      <c r="B13" s="123" t="s">
        <v>12</v>
      </c>
      <c r="C13" s="124">
        <v>33</v>
      </c>
      <c r="D13" s="124"/>
      <c r="E13" s="124">
        <v>25</v>
      </c>
      <c r="F13" s="124">
        <v>1</v>
      </c>
      <c r="G13" s="124">
        <v>5</v>
      </c>
      <c r="H13" s="124"/>
      <c r="I13" s="125"/>
      <c r="K13" s="165">
        <f>C13/3</f>
        <v>11</v>
      </c>
      <c r="L13" s="165">
        <f t="shared" ref="L13:Q13" si="7">D13/3</f>
        <v>0</v>
      </c>
      <c r="M13" s="165">
        <f t="shared" si="7"/>
        <v>8.3333333333333339</v>
      </c>
      <c r="N13" s="165">
        <f t="shared" si="7"/>
        <v>0.33333333333333331</v>
      </c>
      <c r="O13" s="165">
        <f t="shared" si="7"/>
        <v>1.6666666666666667</v>
      </c>
      <c r="P13" s="165">
        <f t="shared" si="7"/>
        <v>0</v>
      </c>
      <c r="Q13" s="165">
        <f t="shared" si="7"/>
        <v>0</v>
      </c>
    </row>
    <row r="14" spans="1:26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26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26" ht="15.75" customHeight="1" x14ac:dyDescent="0.25">
      <c r="A16" s="117">
        <v>1</v>
      </c>
      <c r="B16" s="114" t="s">
        <v>14</v>
      </c>
      <c r="C16" s="115"/>
      <c r="D16" s="115">
        <v>1</v>
      </c>
      <c r="E16" s="115"/>
      <c r="F16" s="115"/>
      <c r="G16" s="115"/>
      <c r="H16" s="115"/>
      <c r="I16" s="116"/>
      <c r="K16" s="163">
        <f>C16*0.75</f>
        <v>0</v>
      </c>
      <c r="L16" s="163">
        <f t="shared" ref="L16:Q17" si="8">D16*0.75</f>
        <v>0.75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0</v>
      </c>
    </row>
    <row r="17" spans="1:17" ht="15.75" customHeight="1" x14ac:dyDescent="0.25">
      <c r="A17" s="117">
        <v>2</v>
      </c>
      <c r="B17" s="118" t="s">
        <v>15</v>
      </c>
      <c r="C17" s="119"/>
      <c r="D17" s="119"/>
      <c r="E17" s="119"/>
      <c r="F17" s="119"/>
      <c r="G17" s="119"/>
      <c r="H17" s="119"/>
      <c r="I17" s="12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19"/>
      <c r="D18" s="119"/>
      <c r="E18" s="119"/>
      <c r="F18" s="119"/>
      <c r="G18" s="119"/>
      <c r="H18" s="119"/>
      <c r="I18" s="120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19"/>
      <c r="D19" s="119">
        <v>1</v>
      </c>
      <c r="E19" s="119"/>
      <c r="F19" s="119"/>
      <c r="G19" s="119"/>
      <c r="H19" s="119"/>
      <c r="I19" s="120"/>
      <c r="K19" s="164">
        <f>C19*0.75</f>
        <v>0</v>
      </c>
      <c r="L19" s="164">
        <f t="shared" ref="L19:Q19" si="10">D19*0.75</f>
        <v>0.75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19"/>
      <c r="D20" s="119"/>
      <c r="E20" s="119"/>
      <c r="F20" s="119"/>
      <c r="G20" s="119"/>
      <c r="H20" s="119"/>
      <c r="I20" s="12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19"/>
      <c r="D21" s="119"/>
      <c r="E21" s="119"/>
      <c r="F21" s="119"/>
      <c r="G21" s="119"/>
      <c r="H21" s="119"/>
      <c r="I21" s="120">
        <v>4</v>
      </c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1.3333333333333333</v>
      </c>
    </row>
    <row r="22" spans="1:17" ht="15.75" customHeight="1" x14ac:dyDescent="0.25">
      <c r="A22" s="117">
        <v>7</v>
      </c>
      <c r="B22" s="133" t="s">
        <v>19</v>
      </c>
      <c r="C22" s="119"/>
      <c r="D22" s="119"/>
      <c r="E22" s="119"/>
      <c r="F22" s="119"/>
      <c r="G22" s="119"/>
      <c r="H22" s="119"/>
      <c r="I22" s="12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19"/>
      <c r="D23" s="119"/>
      <c r="E23" s="119"/>
      <c r="F23" s="119"/>
      <c r="G23" s="119"/>
      <c r="H23" s="119"/>
      <c r="I23" s="12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19"/>
      <c r="D24" s="119"/>
      <c r="E24" s="119"/>
      <c r="F24" s="119"/>
      <c r="G24" s="119"/>
      <c r="H24" s="119"/>
      <c r="I24" s="12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19"/>
      <c r="D25" s="119"/>
      <c r="E25" s="119"/>
      <c r="F25" s="119"/>
      <c r="G25" s="119"/>
      <c r="H25" s="119"/>
      <c r="I25" s="12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4"/>
      <c r="D26" s="124"/>
      <c r="E26" s="124"/>
      <c r="F26" s="124"/>
      <c r="G26" s="124"/>
      <c r="H26" s="124"/>
      <c r="I26" s="125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15"/>
      <c r="D29" s="115"/>
      <c r="E29" s="115"/>
      <c r="F29" s="115"/>
      <c r="G29" s="115"/>
      <c r="H29" s="115"/>
      <c r="I29" s="116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19"/>
      <c r="D30" s="119"/>
      <c r="E30" s="119"/>
      <c r="F30" s="119"/>
      <c r="G30" s="119"/>
      <c r="H30" s="119"/>
      <c r="I30" s="120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19"/>
      <c r="D31" s="119"/>
      <c r="E31" s="119"/>
      <c r="F31" s="119"/>
      <c r="G31" s="119"/>
      <c r="H31" s="119"/>
      <c r="I31" s="12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19"/>
      <c r="D32" s="119"/>
      <c r="E32" s="119"/>
      <c r="F32" s="119"/>
      <c r="G32" s="119"/>
      <c r="H32" s="119"/>
      <c r="I32" s="12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4">
        <v>12</v>
      </c>
      <c r="D33" s="124">
        <v>15</v>
      </c>
      <c r="E33" s="124">
        <v>1</v>
      </c>
      <c r="F33" s="124">
        <v>26</v>
      </c>
      <c r="G33" s="124">
        <v>6</v>
      </c>
      <c r="H33" s="124">
        <v>20</v>
      </c>
      <c r="I33" s="125">
        <v>8</v>
      </c>
      <c r="K33" s="165">
        <f>C33/2</f>
        <v>6</v>
      </c>
      <c r="L33" s="165">
        <f t="shared" ref="L33:Q33" si="17">D33/2</f>
        <v>7.5</v>
      </c>
      <c r="M33" s="165">
        <f t="shared" si="17"/>
        <v>0.5</v>
      </c>
      <c r="N33" s="165">
        <f t="shared" si="17"/>
        <v>13</v>
      </c>
      <c r="O33" s="165">
        <f t="shared" si="17"/>
        <v>3</v>
      </c>
      <c r="P33" s="165">
        <f t="shared" si="17"/>
        <v>10</v>
      </c>
      <c r="Q33" s="165">
        <f t="shared" si="17"/>
        <v>4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52</v>
      </c>
      <c r="D35" s="141">
        <f t="shared" ref="D35:I35" si="18">SUM(D5:D13,D16:D26,D29:D33)</f>
        <v>19</v>
      </c>
      <c r="E35" s="141">
        <f t="shared" si="18"/>
        <v>29</v>
      </c>
      <c r="F35" s="141">
        <f t="shared" si="18"/>
        <v>36</v>
      </c>
      <c r="G35" s="141">
        <f t="shared" si="18"/>
        <v>11</v>
      </c>
      <c r="H35" s="141">
        <f t="shared" si="18"/>
        <v>20</v>
      </c>
      <c r="I35" s="141">
        <f t="shared" si="18"/>
        <v>20</v>
      </c>
      <c r="K35" s="28">
        <f>SUM(K5:K33)</f>
        <v>20.5</v>
      </c>
      <c r="L35" s="28">
        <f t="shared" ref="L35:Q35" si="19">SUM(L5:L33)</f>
        <v>10</v>
      </c>
      <c r="M35" s="28">
        <f t="shared" si="19"/>
        <v>11.083333333333334</v>
      </c>
      <c r="N35" s="28">
        <f t="shared" si="19"/>
        <v>17.833333333333332</v>
      </c>
      <c r="O35" s="28">
        <f t="shared" si="19"/>
        <v>4.666666666666667</v>
      </c>
      <c r="P35" s="28">
        <f t="shared" si="19"/>
        <v>10</v>
      </c>
      <c r="Q35" s="28">
        <f t="shared" si="19"/>
        <v>11.333333333333332</v>
      </c>
    </row>
  </sheetData>
  <sheetProtection algorithmName="SHA-512" hashValue="Wo5Lo90HqUEXyAcNDotGuDnaqKcm0cPkHwepMaoLb0Vt5glDnF5dfFyQdtTIAyKKj9SwarwQriTPHSEMbDBf1w==" saltValue="NOyhmAGSRCOhyqI/SYa2q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9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1BB8-5569-4774-BE0F-7E5D5DF2F7E6}">
  <sheetPr codeName="Sheet3"/>
  <dimension ref="A1:AE35"/>
  <sheetViews>
    <sheetView workbookViewId="0">
      <selection activeCell="G11" sqref="G11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2</v>
      </c>
      <c r="J3" s="101"/>
      <c r="K3" s="160">
        <f t="shared" ref="K3:Q3" si="0">K35/C3</f>
        <v>4.083333333333333</v>
      </c>
      <c r="L3" s="160">
        <f t="shared" si="0"/>
        <v>5</v>
      </c>
      <c r="M3" s="160">
        <f t="shared" si="0"/>
        <v>5.375</v>
      </c>
      <c r="N3" s="160">
        <f t="shared" si="0"/>
        <v>4.5</v>
      </c>
      <c r="O3" s="160" t="e">
        <f t="shared" si="0"/>
        <v>#DIV/0!</v>
      </c>
      <c r="P3" s="160">
        <f t="shared" si="0"/>
        <v>6</v>
      </c>
      <c r="Q3" s="160">
        <f t="shared" si="0"/>
        <v>4.75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15"/>
      <c r="D5" s="115">
        <v>5</v>
      </c>
      <c r="E5" s="115"/>
      <c r="F5" s="115"/>
      <c r="G5" s="115"/>
      <c r="H5" s="115"/>
      <c r="I5" s="116">
        <v>1</v>
      </c>
      <c r="K5" s="163">
        <f>C5*0.75</f>
        <v>0</v>
      </c>
      <c r="L5" s="163">
        <f t="shared" ref="L5:Q7" si="1">D5*0.75</f>
        <v>3.75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0.75</v>
      </c>
    </row>
    <row r="6" spans="1:31" ht="15.75" customHeight="1" x14ac:dyDescent="0.25">
      <c r="A6" s="117">
        <v>2</v>
      </c>
      <c r="B6" s="118" t="s">
        <v>5</v>
      </c>
      <c r="C6" s="119"/>
      <c r="D6" s="119"/>
      <c r="E6" s="119"/>
      <c r="F6" s="119"/>
      <c r="G6" s="119"/>
      <c r="H6" s="119"/>
      <c r="I6" s="12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19"/>
      <c r="D7" s="119"/>
      <c r="E7" s="119"/>
      <c r="F7" s="119"/>
      <c r="G7" s="119"/>
      <c r="H7" s="119"/>
      <c r="I7" s="12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19"/>
      <c r="D8" s="119"/>
      <c r="E8" s="119">
        <v>1</v>
      </c>
      <c r="F8" s="119"/>
      <c r="G8" s="119"/>
      <c r="H8" s="119"/>
      <c r="I8" s="120">
        <v>2</v>
      </c>
      <c r="K8" s="164">
        <f>C8</f>
        <v>0</v>
      </c>
      <c r="L8" s="164">
        <f t="shared" ref="L8:Q8" si="3">D8</f>
        <v>0</v>
      </c>
      <c r="M8" s="164">
        <f t="shared" si="3"/>
        <v>1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2</v>
      </c>
    </row>
    <row r="9" spans="1:31" ht="15.75" customHeight="1" x14ac:dyDescent="0.25">
      <c r="A9" s="117">
        <v>5</v>
      </c>
      <c r="B9" s="118" t="s">
        <v>8</v>
      </c>
      <c r="C9" s="119">
        <v>1</v>
      </c>
      <c r="D9" s="119"/>
      <c r="E9" s="119"/>
      <c r="F9" s="119"/>
      <c r="G9" s="119"/>
      <c r="H9" s="119"/>
      <c r="I9" s="120"/>
      <c r="K9" s="164">
        <f>C9*0.75</f>
        <v>0.75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19"/>
      <c r="D10" s="119"/>
      <c r="E10" s="119"/>
      <c r="F10" s="119"/>
      <c r="G10" s="119"/>
      <c r="H10" s="119"/>
      <c r="I10" s="12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19"/>
      <c r="D11" s="119"/>
      <c r="E11" s="119"/>
      <c r="F11" s="119"/>
      <c r="G11" s="119"/>
      <c r="H11" s="119"/>
      <c r="I11" s="12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19">
        <v>3</v>
      </c>
      <c r="D12" s="119"/>
      <c r="E12" s="119"/>
      <c r="F12" s="119">
        <v>4</v>
      </c>
      <c r="G12" s="119"/>
      <c r="H12" s="119"/>
      <c r="I12" s="120"/>
      <c r="K12" s="164">
        <f>C12/2</f>
        <v>1.5</v>
      </c>
      <c r="L12" s="164">
        <f t="shared" ref="L12:Q12" si="6">D12/2</f>
        <v>0</v>
      </c>
      <c r="M12" s="164">
        <f t="shared" si="6"/>
        <v>0</v>
      </c>
      <c r="N12" s="164">
        <f t="shared" si="6"/>
        <v>2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4">
        <v>3</v>
      </c>
      <c r="D13" s="124"/>
      <c r="E13" s="124">
        <v>9</v>
      </c>
      <c r="F13" s="124">
        <v>3</v>
      </c>
      <c r="G13" s="124"/>
      <c r="H13" s="124"/>
      <c r="I13" s="125"/>
      <c r="K13" s="165">
        <f>C13/3</f>
        <v>1</v>
      </c>
      <c r="L13" s="165">
        <f t="shared" ref="L13:Q13" si="7">D13/3</f>
        <v>0</v>
      </c>
      <c r="M13" s="165">
        <f t="shared" si="7"/>
        <v>3</v>
      </c>
      <c r="N13" s="165">
        <f t="shared" si="7"/>
        <v>1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15"/>
      <c r="D16" s="115">
        <v>6</v>
      </c>
      <c r="E16" s="115">
        <v>3</v>
      </c>
      <c r="F16" s="115"/>
      <c r="G16" s="115"/>
      <c r="H16" s="115"/>
      <c r="I16" s="116">
        <v>1</v>
      </c>
      <c r="K16" s="163">
        <f>C16*0.75</f>
        <v>0</v>
      </c>
      <c r="L16" s="163">
        <f t="shared" ref="L16:Q17" si="8">D16*0.75</f>
        <v>4.5</v>
      </c>
      <c r="M16" s="163">
        <f t="shared" si="8"/>
        <v>2.25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0.75</v>
      </c>
    </row>
    <row r="17" spans="1:17" ht="15.75" customHeight="1" x14ac:dyDescent="0.25">
      <c r="A17" s="117">
        <v>2</v>
      </c>
      <c r="B17" s="118" t="s">
        <v>15</v>
      </c>
      <c r="C17" s="119"/>
      <c r="D17" s="119"/>
      <c r="E17" s="119"/>
      <c r="F17" s="119"/>
      <c r="G17" s="119"/>
      <c r="H17" s="119"/>
      <c r="I17" s="12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19"/>
      <c r="D18" s="119"/>
      <c r="E18" s="119">
        <v>3</v>
      </c>
      <c r="F18" s="119"/>
      <c r="G18" s="119"/>
      <c r="H18" s="119"/>
      <c r="I18" s="120"/>
      <c r="K18" s="164">
        <f>C18</f>
        <v>0</v>
      </c>
      <c r="L18" s="164">
        <f t="shared" ref="L18:Q18" si="9">D18</f>
        <v>0</v>
      </c>
      <c r="M18" s="164">
        <f t="shared" si="9"/>
        <v>3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19"/>
      <c r="D19" s="119">
        <v>1</v>
      </c>
      <c r="E19" s="119"/>
      <c r="F19" s="119"/>
      <c r="G19" s="119"/>
      <c r="H19" s="119"/>
      <c r="I19" s="120"/>
      <c r="K19" s="164">
        <f>C19*0.75</f>
        <v>0</v>
      </c>
      <c r="L19" s="164">
        <f t="shared" ref="L19:Q19" si="10">D19*0.75</f>
        <v>0.75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19"/>
      <c r="D20" s="119"/>
      <c r="E20" s="119"/>
      <c r="F20" s="119"/>
      <c r="G20" s="119"/>
      <c r="H20" s="119"/>
      <c r="I20" s="12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19"/>
      <c r="D21" s="119"/>
      <c r="E21" s="119"/>
      <c r="F21" s="119"/>
      <c r="G21" s="119"/>
      <c r="H21" s="119"/>
      <c r="I21" s="12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19"/>
      <c r="D22" s="119"/>
      <c r="E22" s="119"/>
      <c r="F22" s="119"/>
      <c r="G22" s="119"/>
      <c r="H22" s="119"/>
      <c r="I22" s="12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19"/>
      <c r="D23" s="119"/>
      <c r="E23" s="119"/>
      <c r="F23" s="119"/>
      <c r="G23" s="119"/>
      <c r="H23" s="119"/>
      <c r="I23" s="12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19"/>
      <c r="D24" s="119"/>
      <c r="E24" s="119"/>
      <c r="F24" s="119"/>
      <c r="G24" s="119"/>
      <c r="H24" s="119"/>
      <c r="I24" s="12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19"/>
      <c r="D25" s="119"/>
      <c r="E25" s="119"/>
      <c r="F25" s="119"/>
      <c r="G25" s="119"/>
      <c r="H25" s="119"/>
      <c r="I25" s="12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4">
        <v>1</v>
      </c>
      <c r="D26" s="124"/>
      <c r="E26" s="124">
        <v>1</v>
      </c>
      <c r="F26" s="124"/>
      <c r="G26" s="124"/>
      <c r="H26" s="124"/>
      <c r="I26" s="125">
        <v>1</v>
      </c>
      <c r="K26" s="165">
        <f>C26/2</f>
        <v>0.5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0.5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15"/>
      <c r="D29" s="115"/>
      <c r="E29" s="115"/>
      <c r="F29" s="115"/>
      <c r="G29" s="115"/>
      <c r="H29" s="115"/>
      <c r="I29" s="116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19">
        <v>1</v>
      </c>
      <c r="D30" s="119">
        <v>1</v>
      </c>
      <c r="E30" s="119"/>
      <c r="F30" s="119"/>
      <c r="G30" s="119"/>
      <c r="H30" s="119"/>
      <c r="I30" s="120"/>
      <c r="K30" s="164">
        <f>C30</f>
        <v>1</v>
      </c>
      <c r="L30" s="164">
        <f t="shared" ref="L30:Q32" si="16">D30</f>
        <v>1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19"/>
      <c r="D31" s="119"/>
      <c r="E31" s="119"/>
      <c r="F31" s="119"/>
      <c r="G31" s="119"/>
      <c r="H31" s="119"/>
      <c r="I31" s="12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19"/>
      <c r="D32" s="119"/>
      <c r="E32" s="119"/>
      <c r="F32" s="119"/>
      <c r="G32" s="119"/>
      <c r="H32" s="119"/>
      <c r="I32" s="12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4">
        <v>15</v>
      </c>
      <c r="D33" s="124"/>
      <c r="E33" s="124">
        <v>2</v>
      </c>
      <c r="F33" s="124">
        <v>3</v>
      </c>
      <c r="G33" s="124"/>
      <c r="H33" s="124">
        <v>24</v>
      </c>
      <c r="I33" s="125">
        <v>11</v>
      </c>
      <c r="K33" s="165">
        <f>C33/2</f>
        <v>7.5</v>
      </c>
      <c r="L33" s="165">
        <f t="shared" ref="L33:Q33" si="17">D33/2</f>
        <v>0</v>
      </c>
      <c r="M33" s="165">
        <f t="shared" si="17"/>
        <v>1</v>
      </c>
      <c r="N33" s="165">
        <f t="shared" si="17"/>
        <v>1.5</v>
      </c>
      <c r="O33" s="165">
        <f t="shared" si="17"/>
        <v>0</v>
      </c>
      <c r="P33" s="165">
        <f t="shared" si="17"/>
        <v>12</v>
      </c>
      <c r="Q33" s="165">
        <f t="shared" si="17"/>
        <v>5.5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24</v>
      </c>
      <c r="D35" s="141">
        <f t="shared" ref="D35:I35" si="18">SUM(D5:D13,D16:D26,D29:D33)</f>
        <v>13</v>
      </c>
      <c r="E35" s="141">
        <f t="shared" si="18"/>
        <v>19</v>
      </c>
      <c r="F35" s="141">
        <f t="shared" si="18"/>
        <v>10</v>
      </c>
      <c r="G35" s="141">
        <f t="shared" si="18"/>
        <v>0</v>
      </c>
      <c r="H35" s="141">
        <f t="shared" si="18"/>
        <v>24</v>
      </c>
      <c r="I35" s="141">
        <f t="shared" si="18"/>
        <v>16</v>
      </c>
      <c r="K35" s="28">
        <f>SUM(K5:K33)</f>
        <v>12.25</v>
      </c>
      <c r="L35" s="28">
        <f t="shared" ref="L35:Q35" si="19">SUM(L5:L33)</f>
        <v>10</v>
      </c>
      <c r="M35" s="28">
        <f t="shared" si="19"/>
        <v>10.75</v>
      </c>
      <c r="N35" s="28">
        <f t="shared" si="19"/>
        <v>4.5</v>
      </c>
      <c r="O35" s="28">
        <f t="shared" si="19"/>
        <v>0</v>
      </c>
      <c r="P35" s="28">
        <f t="shared" si="19"/>
        <v>12</v>
      </c>
      <c r="Q35" s="28">
        <f t="shared" si="19"/>
        <v>9.5</v>
      </c>
    </row>
  </sheetData>
  <sheetProtection algorithmName="SHA-512" hashValue="VcbbHfq1mRVRMdF0AdNEQFjgEWNUddsRTZO76QaegTf1esdW1a4fUUw2oJFmJ1zHn2sI/K9e0Dm8hLlISddGug==" saltValue="9uGJiDElaHmRmtm+W1ZKd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B8A3-0668-4C7F-B52D-9719594B8171}">
  <sheetPr codeName="Sheet4"/>
  <dimension ref="A1:AE35"/>
  <sheetViews>
    <sheetView workbookViewId="0">
      <selection activeCell="J13" sqref="J1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1</v>
      </c>
      <c r="F3" s="106">
        <v>1</v>
      </c>
      <c r="G3" s="106"/>
      <c r="H3" s="106">
        <v>2</v>
      </c>
      <c r="I3" s="107">
        <v>2</v>
      </c>
      <c r="J3" s="101"/>
      <c r="K3" s="160">
        <f t="shared" ref="K3:Q3" si="0">K35/C3</f>
        <v>5.25</v>
      </c>
      <c r="L3" s="160">
        <f t="shared" si="0"/>
        <v>4.625</v>
      </c>
      <c r="M3" s="160">
        <f t="shared" si="0"/>
        <v>4.5</v>
      </c>
      <c r="N3" s="160">
        <f t="shared" si="0"/>
        <v>3.75</v>
      </c>
      <c r="O3" s="160" t="e">
        <f t="shared" si="0"/>
        <v>#DIV/0!</v>
      </c>
      <c r="P3" s="160">
        <f t="shared" si="0"/>
        <v>4</v>
      </c>
      <c r="Q3" s="160">
        <f t="shared" si="0"/>
        <v>5.5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15">
        <v>4</v>
      </c>
      <c r="D5" s="115">
        <v>3</v>
      </c>
      <c r="E5" s="115"/>
      <c r="F5" s="115">
        <v>3</v>
      </c>
      <c r="G5" s="115"/>
      <c r="H5" s="115"/>
      <c r="I5" s="116">
        <v>6</v>
      </c>
      <c r="K5" s="163">
        <f>C5*0.75</f>
        <v>3</v>
      </c>
      <c r="L5" s="163">
        <f t="shared" ref="L5:Q7" si="1">D5*0.75</f>
        <v>2.25</v>
      </c>
      <c r="M5" s="163">
        <f t="shared" si="1"/>
        <v>0</v>
      </c>
      <c r="N5" s="163">
        <f t="shared" si="1"/>
        <v>2.25</v>
      </c>
      <c r="O5" s="163">
        <f t="shared" si="1"/>
        <v>0</v>
      </c>
      <c r="P5" s="163">
        <f t="shared" si="1"/>
        <v>0</v>
      </c>
      <c r="Q5" s="163">
        <f t="shared" si="1"/>
        <v>4.5</v>
      </c>
    </row>
    <row r="6" spans="1:31" ht="15.75" customHeight="1" x14ac:dyDescent="0.25">
      <c r="A6" s="117">
        <v>2</v>
      </c>
      <c r="B6" s="118" t="s">
        <v>5</v>
      </c>
      <c r="C6" s="119"/>
      <c r="D6" s="119"/>
      <c r="E6" s="119"/>
      <c r="F6" s="119"/>
      <c r="G6" s="119"/>
      <c r="H6" s="119"/>
      <c r="I6" s="12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19"/>
      <c r="D7" s="119"/>
      <c r="E7" s="119"/>
      <c r="F7" s="119"/>
      <c r="G7" s="119"/>
      <c r="H7" s="119"/>
      <c r="I7" s="12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19"/>
      <c r="D8" s="119"/>
      <c r="E8" s="119">
        <v>4</v>
      </c>
      <c r="F8" s="119"/>
      <c r="G8" s="119"/>
      <c r="H8" s="119">
        <v>7</v>
      </c>
      <c r="I8" s="120">
        <v>4</v>
      </c>
      <c r="K8" s="164">
        <f>C8</f>
        <v>0</v>
      </c>
      <c r="L8" s="164">
        <f t="shared" ref="L8:Q8" si="3">D8</f>
        <v>0</v>
      </c>
      <c r="M8" s="164">
        <f t="shared" si="3"/>
        <v>4</v>
      </c>
      <c r="N8" s="164">
        <f t="shared" si="3"/>
        <v>0</v>
      </c>
      <c r="O8" s="164">
        <f t="shared" si="3"/>
        <v>0</v>
      </c>
      <c r="P8" s="164">
        <f t="shared" si="3"/>
        <v>7</v>
      </c>
      <c r="Q8" s="164">
        <f t="shared" si="3"/>
        <v>4</v>
      </c>
    </row>
    <row r="9" spans="1:31" ht="15.75" customHeight="1" x14ac:dyDescent="0.25">
      <c r="A9" s="117">
        <v>5</v>
      </c>
      <c r="B9" s="118" t="s">
        <v>8</v>
      </c>
      <c r="C9" s="119">
        <v>6</v>
      </c>
      <c r="D9" s="119"/>
      <c r="E9" s="119"/>
      <c r="F9" s="119"/>
      <c r="G9" s="119"/>
      <c r="H9" s="119"/>
      <c r="I9" s="120"/>
      <c r="K9" s="164">
        <f>C9*0.75</f>
        <v>4.5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19"/>
      <c r="D10" s="119"/>
      <c r="E10" s="119"/>
      <c r="F10" s="119"/>
      <c r="G10" s="119"/>
      <c r="H10" s="119"/>
      <c r="I10" s="12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19"/>
      <c r="D11" s="119"/>
      <c r="E11" s="119"/>
      <c r="F11" s="119"/>
      <c r="G11" s="119"/>
      <c r="H11" s="119"/>
      <c r="I11" s="12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19"/>
      <c r="D12" s="119"/>
      <c r="E12" s="119"/>
      <c r="F12" s="119"/>
      <c r="G12" s="119"/>
      <c r="H12" s="119"/>
      <c r="I12" s="120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4"/>
      <c r="D13" s="124"/>
      <c r="E13" s="124"/>
      <c r="F13" s="124"/>
      <c r="G13" s="124"/>
      <c r="H13" s="124"/>
      <c r="I13" s="125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5"/>
      <c r="D14" s="156"/>
      <c r="E14" s="155"/>
      <c r="F14" s="156"/>
      <c r="G14" s="155"/>
      <c r="H14" s="155"/>
      <c r="I14" s="156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7"/>
      <c r="D15" s="157"/>
      <c r="E15" s="157"/>
      <c r="F15" s="157"/>
      <c r="G15" s="157"/>
      <c r="H15" s="157"/>
      <c r="I15" s="158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15">
        <v>11</v>
      </c>
      <c r="D16" s="115">
        <v>8</v>
      </c>
      <c r="E16" s="115"/>
      <c r="F16" s="115">
        <v>2</v>
      </c>
      <c r="G16" s="115"/>
      <c r="H16" s="115"/>
      <c r="I16" s="116">
        <v>2</v>
      </c>
      <c r="K16" s="163">
        <f>C16*0.75</f>
        <v>8.25</v>
      </c>
      <c r="L16" s="163">
        <f t="shared" ref="L16:Q17" si="8">D16*0.75</f>
        <v>6</v>
      </c>
      <c r="M16" s="163">
        <f t="shared" si="8"/>
        <v>0</v>
      </c>
      <c r="N16" s="163">
        <f t="shared" si="8"/>
        <v>1.5</v>
      </c>
      <c r="O16" s="163">
        <f t="shared" si="8"/>
        <v>0</v>
      </c>
      <c r="P16" s="163">
        <f t="shared" si="8"/>
        <v>0</v>
      </c>
      <c r="Q16" s="163">
        <f t="shared" si="8"/>
        <v>1.5</v>
      </c>
    </row>
    <row r="17" spans="1:17" ht="15.75" customHeight="1" x14ac:dyDescent="0.25">
      <c r="A17" s="117">
        <v>2</v>
      </c>
      <c r="B17" s="118" t="s">
        <v>15</v>
      </c>
      <c r="C17" s="119"/>
      <c r="D17" s="119"/>
      <c r="E17" s="119"/>
      <c r="F17" s="119"/>
      <c r="G17" s="119"/>
      <c r="H17" s="119"/>
      <c r="I17" s="12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19"/>
      <c r="D18" s="119"/>
      <c r="E18" s="119"/>
      <c r="F18" s="119"/>
      <c r="G18" s="119"/>
      <c r="H18" s="119"/>
      <c r="I18" s="120">
        <v>1</v>
      </c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1</v>
      </c>
    </row>
    <row r="19" spans="1:17" ht="15.75" customHeight="1" x14ac:dyDescent="0.25">
      <c r="A19" s="117">
        <v>4</v>
      </c>
      <c r="B19" s="118" t="s">
        <v>17</v>
      </c>
      <c r="C19" s="119"/>
      <c r="D19" s="119"/>
      <c r="E19" s="119"/>
      <c r="F19" s="119"/>
      <c r="G19" s="119"/>
      <c r="H19" s="119"/>
      <c r="I19" s="120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19"/>
      <c r="D20" s="119"/>
      <c r="E20" s="119"/>
      <c r="F20" s="119"/>
      <c r="G20" s="119"/>
      <c r="H20" s="119"/>
      <c r="I20" s="12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19"/>
      <c r="D21" s="119"/>
      <c r="E21" s="119"/>
      <c r="F21" s="119"/>
      <c r="G21" s="119"/>
      <c r="H21" s="119"/>
      <c r="I21" s="12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19"/>
      <c r="D22" s="119"/>
      <c r="E22" s="119"/>
      <c r="F22" s="119"/>
      <c r="G22" s="119"/>
      <c r="H22" s="119"/>
      <c r="I22" s="12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19"/>
      <c r="D23" s="119"/>
      <c r="E23" s="119"/>
      <c r="F23" s="119"/>
      <c r="G23" s="119"/>
      <c r="H23" s="119"/>
      <c r="I23" s="12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19"/>
      <c r="D24" s="119"/>
      <c r="E24" s="119"/>
      <c r="F24" s="119"/>
      <c r="G24" s="119"/>
      <c r="H24" s="119"/>
      <c r="I24" s="12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19"/>
      <c r="D25" s="119"/>
      <c r="E25" s="119"/>
      <c r="F25" s="119"/>
      <c r="G25" s="119"/>
      <c r="H25" s="119"/>
      <c r="I25" s="12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4"/>
      <c r="D26" s="124"/>
      <c r="E26" s="124"/>
      <c r="F26" s="124"/>
      <c r="G26" s="124"/>
      <c r="H26" s="124"/>
      <c r="I26" s="125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C27" s="156"/>
      <c r="D27" s="155"/>
      <c r="E27" s="155"/>
      <c r="F27" s="156"/>
      <c r="G27" s="155"/>
      <c r="H27" s="155"/>
      <c r="I27" s="156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7"/>
      <c r="D28" s="157"/>
      <c r="E28" s="157"/>
      <c r="F28" s="157"/>
      <c r="G28" s="157"/>
      <c r="H28" s="157"/>
      <c r="I28" s="158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15"/>
      <c r="D29" s="115"/>
      <c r="E29" s="115"/>
      <c r="F29" s="115"/>
      <c r="G29" s="115"/>
      <c r="H29" s="115"/>
      <c r="I29" s="116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19"/>
      <c r="D30" s="119">
        <v>1</v>
      </c>
      <c r="E30" s="119"/>
      <c r="F30" s="119"/>
      <c r="G30" s="119"/>
      <c r="H30" s="119"/>
      <c r="I30" s="120"/>
      <c r="K30" s="164">
        <f>C30</f>
        <v>0</v>
      </c>
      <c r="L30" s="164">
        <f t="shared" ref="L30:Q32" si="16">D30</f>
        <v>1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19"/>
      <c r="D31" s="119"/>
      <c r="E31" s="119"/>
      <c r="F31" s="119"/>
      <c r="G31" s="119"/>
      <c r="H31" s="119"/>
      <c r="I31" s="12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19"/>
      <c r="D32" s="119"/>
      <c r="E32" s="119"/>
      <c r="F32" s="119"/>
      <c r="G32" s="119"/>
      <c r="H32" s="119"/>
      <c r="I32" s="12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4"/>
      <c r="D33" s="124"/>
      <c r="E33" s="124">
        <v>1</v>
      </c>
      <c r="F33" s="124"/>
      <c r="G33" s="124"/>
      <c r="H33" s="124">
        <v>2</v>
      </c>
      <c r="I33" s="125"/>
      <c r="K33" s="165">
        <f>C33/2</f>
        <v>0</v>
      </c>
      <c r="L33" s="165">
        <f t="shared" ref="L33:Q33" si="17">D33/2</f>
        <v>0</v>
      </c>
      <c r="M33" s="165">
        <f t="shared" si="17"/>
        <v>0.5</v>
      </c>
      <c r="N33" s="165">
        <f t="shared" si="17"/>
        <v>0</v>
      </c>
      <c r="O33" s="165">
        <f t="shared" si="17"/>
        <v>0</v>
      </c>
      <c r="P33" s="165">
        <f t="shared" si="17"/>
        <v>1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21</v>
      </c>
      <c r="D35" s="141">
        <f t="shared" ref="D35:I35" si="18">SUM(D5:D13,D16:D26,D29:D33)</f>
        <v>12</v>
      </c>
      <c r="E35" s="141">
        <f t="shared" si="18"/>
        <v>5</v>
      </c>
      <c r="F35" s="141">
        <f t="shared" si="18"/>
        <v>5</v>
      </c>
      <c r="G35" s="141">
        <f t="shared" si="18"/>
        <v>0</v>
      </c>
      <c r="H35" s="141">
        <f t="shared" si="18"/>
        <v>9</v>
      </c>
      <c r="I35" s="141">
        <f t="shared" si="18"/>
        <v>13</v>
      </c>
      <c r="K35" s="28">
        <f>SUM(K5:K33)</f>
        <v>15.75</v>
      </c>
      <c r="L35" s="28">
        <f t="shared" ref="L35:Q35" si="19">SUM(L5:L33)</f>
        <v>9.25</v>
      </c>
      <c r="M35" s="28">
        <f t="shared" si="19"/>
        <v>4.5</v>
      </c>
      <c r="N35" s="28">
        <f t="shared" si="19"/>
        <v>3.75</v>
      </c>
      <c r="O35" s="28">
        <f t="shared" si="19"/>
        <v>0</v>
      </c>
      <c r="P35" s="28">
        <f t="shared" si="19"/>
        <v>8</v>
      </c>
      <c r="Q35" s="28">
        <f t="shared" si="19"/>
        <v>11</v>
      </c>
    </row>
  </sheetData>
  <sheetProtection algorithmName="SHA-512" hashValue="+EhKDnD13M5W+O5RjQ+sr7hNJvVxqPJl4ajorveWPjX7UQKL1kZP3D1GztyQzdfCkC8MedKcuT+1WL46w7ELVA==" saltValue="y8FaKQnvoPoGuSOUCp2s8Q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EE52-0B58-4C60-941F-E1986546DE02}">
  <sheetPr codeName="Sheet5"/>
  <dimension ref="A1:AE35"/>
  <sheetViews>
    <sheetView workbookViewId="0">
      <selection activeCell="C35" sqref="C35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1</v>
      </c>
      <c r="E3" s="106">
        <v>1</v>
      </c>
      <c r="F3" s="106">
        <v>1</v>
      </c>
      <c r="G3" s="106"/>
      <c r="H3" s="106"/>
      <c r="I3" s="107">
        <v>1</v>
      </c>
      <c r="J3" s="101"/>
      <c r="K3" s="160">
        <f t="shared" ref="K3:Q3" si="0">K35/C3</f>
        <v>7.166666666666667</v>
      </c>
      <c r="L3" s="160">
        <f t="shared" si="0"/>
        <v>7.5</v>
      </c>
      <c r="M3" s="160">
        <f t="shared" si="0"/>
        <v>7</v>
      </c>
      <c r="N3" s="160">
        <f t="shared" si="0"/>
        <v>10</v>
      </c>
      <c r="O3" s="160" t="e">
        <f t="shared" si="0"/>
        <v>#DIV/0!</v>
      </c>
      <c r="P3" s="160" t="e">
        <f t="shared" si="0"/>
        <v>#DIV/0!</v>
      </c>
      <c r="Q3" s="160">
        <f t="shared" si="0"/>
        <v>7.75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1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8"/>
      <c r="D5" s="148">
        <v>4</v>
      </c>
      <c r="E5" s="148">
        <v>5</v>
      </c>
      <c r="F5" s="148">
        <v>7</v>
      </c>
      <c r="G5" s="148"/>
      <c r="H5" s="148"/>
      <c r="I5" s="149">
        <v>6</v>
      </c>
      <c r="K5" s="163">
        <f>C5*0.75</f>
        <v>0</v>
      </c>
      <c r="L5" s="163">
        <f t="shared" ref="L5:Q7" si="1">D5*0.75</f>
        <v>3</v>
      </c>
      <c r="M5" s="163">
        <f t="shared" si="1"/>
        <v>3.75</v>
      </c>
      <c r="N5" s="163">
        <f t="shared" si="1"/>
        <v>5.25</v>
      </c>
      <c r="O5" s="163">
        <f t="shared" si="1"/>
        <v>0</v>
      </c>
      <c r="P5" s="163">
        <f t="shared" si="1"/>
        <v>0</v>
      </c>
      <c r="Q5" s="163">
        <f t="shared" si="1"/>
        <v>4.5</v>
      </c>
    </row>
    <row r="6" spans="1:31" ht="15.75" customHeight="1" x14ac:dyDescent="0.25">
      <c r="A6" s="117">
        <v>2</v>
      </c>
      <c r="B6" s="118" t="s">
        <v>5</v>
      </c>
      <c r="C6" s="121"/>
      <c r="D6" s="121"/>
      <c r="E6" s="121"/>
      <c r="F6" s="121"/>
      <c r="G6" s="121"/>
      <c r="H6" s="121"/>
      <c r="I6" s="15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21"/>
      <c r="D7" s="121"/>
      <c r="E7" s="121"/>
      <c r="F7" s="121"/>
      <c r="G7" s="121"/>
      <c r="H7" s="121"/>
      <c r="I7" s="15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21">
        <v>4</v>
      </c>
      <c r="D8" s="121"/>
      <c r="E8" s="121"/>
      <c r="F8" s="121"/>
      <c r="G8" s="121"/>
      <c r="H8" s="121"/>
      <c r="I8" s="150"/>
      <c r="K8" s="164">
        <f>C8</f>
        <v>4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21">
        <v>1</v>
      </c>
      <c r="D9" s="121"/>
      <c r="E9" s="121">
        <v>1</v>
      </c>
      <c r="F9" s="121"/>
      <c r="G9" s="121"/>
      <c r="H9" s="121"/>
      <c r="I9" s="150"/>
      <c r="K9" s="164">
        <f>C9*0.75</f>
        <v>0.75</v>
      </c>
      <c r="L9" s="164">
        <f t="shared" ref="L9:Q10" si="4">D9*0.75</f>
        <v>0</v>
      </c>
      <c r="M9" s="164">
        <f t="shared" si="4"/>
        <v>0.75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21"/>
      <c r="D10" s="121"/>
      <c r="E10" s="121"/>
      <c r="F10" s="121"/>
      <c r="G10" s="121"/>
      <c r="H10" s="121"/>
      <c r="I10" s="15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21"/>
      <c r="D11" s="121"/>
      <c r="E11" s="121"/>
      <c r="F11" s="121"/>
      <c r="G11" s="121"/>
      <c r="H11" s="121"/>
      <c r="I11" s="15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21"/>
      <c r="D12" s="121"/>
      <c r="E12" s="121"/>
      <c r="F12" s="121"/>
      <c r="G12" s="121"/>
      <c r="H12" s="121"/>
      <c r="I12" s="150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6"/>
      <c r="D13" s="126"/>
      <c r="E13" s="126"/>
      <c r="F13" s="126"/>
      <c r="G13" s="126"/>
      <c r="H13" s="126"/>
      <c r="I13" s="151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2"/>
      <c r="D14" s="100"/>
      <c r="E14" s="152"/>
      <c r="F14" s="100"/>
      <c r="G14" s="152"/>
      <c r="H14" s="152"/>
      <c r="I14" s="100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3"/>
      <c r="D15" s="153"/>
      <c r="E15" s="153"/>
      <c r="F15" s="153"/>
      <c r="G15" s="153"/>
      <c r="H15" s="153"/>
      <c r="I15" s="154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8">
        <v>18</v>
      </c>
      <c r="D16" s="148">
        <v>6</v>
      </c>
      <c r="E16" s="148">
        <v>2</v>
      </c>
      <c r="F16" s="148">
        <v>5</v>
      </c>
      <c r="G16" s="148"/>
      <c r="H16" s="148"/>
      <c r="I16" s="149">
        <v>3</v>
      </c>
      <c r="K16" s="163">
        <f>C16*0.75</f>
        <v>13.5</v>
      </c>
      <c r="L16" s="163">
        <f t="shared" ref="L16:Q17" si="8">D16*0.75</f>
        <v>4.5</v>
      </c>
      <c r="M16" s="163">
        <f t="shared" si="8"/>
        <v>1.5</v>
      </c>
      <c r="N16" s="163">
        <f t="shared" si="8"/>
        <v>3.75</v>
      </c>
      <c r="O16" s="163">
        <f t="shared" si="8"/>
        <v>0</v>
      </c>
      <c r="P16" s="163">
        <f t="shared" si="8"/>
        <v>0</v>
      </c>
      <c r="Q16" s="163">
        <f t="shared" si="8"/>
        <v>2.25</v>
      </c>
    </row>
    <row r="17" spans="1:17" ht="15.75" customHeight="1" x14ac:dyDescent="0.25">
      <c r="A17" s="117">
        <v>2</v>
      </c>
      <c r="B17" s="118" t="s">
        <v>15</v>
      </c>
      <c r="C17" s="121"/>
      <c r="D17" s="121"/>
      <c r="E17" s="121"/>
      <c r="F17" s="121"/>
      <c r="G17" s="121"/>
      <c r="H17" s="121"/>
      <c r="I17" s="15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21"/>
      <c r="D18" s="121"/>
      <c r="E18" s="121"/>
      <c r="F18" s="121"/>
      <c r="G18" s="121"/>
      <c r="H18" s="121"/>
      <c r="I18" s="150">
        <v>1</v>
      </c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1</v>
      </c>
    </row>
    <row r="19" spans="1:17" ht="15.75" customHeight="1" x14ac:dyDescent="0.25">
      <c r="A19" s="117">
        <v>4</v>
      </c>
      <c r="B19" s="118" t="s">
        <v>17</v>
      </c>
      <c r="C19" s="121">
        <v>1</v>
      </c>
      <c r="D19" s="121"/>
      <c r="E19" s="121"/>
      <c r="F19" s="121"/>
      <c r="G19" s="121"/>
      <c r="H19" s="121"/>
      <c r="I19" s="150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21"/>
      <c r="D20" s="121"/>
      <c r="E20" s="121"/>
      <c r="F20" s="121"/>
      <c r="G20" s="121"/>
      <c r="H20" s="121"/>
      <c r="I20" s="15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21"/>
      <c r="D21" s="121"/>
      <c r="E21" s="121"/>
      <c r="F21" s="121"/>
      <c r="G21" s="121"/>
      <c r="H21" s="121"/>
      <c r="I21" s="15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21"/>
      <c r="D22" s="121"/>
      <c r="E22" s="121"/>
      <c r="F22" s="121"/>
      <c r="G22" s="121"/>
      <c r="H22" s="121"/>
      <c r="I22" s="15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21"/>
      <c r="D23" s="121"/>
      <c r="E23" s="121"/>
      <c r="F23" s="121"/>
      <c r="G23" s="121"/>
      <c r="H23" s="121"/>
      <c r="I23" s="15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21"/>
      <c r="D24" s="121"/>
      <c r="E24" s="121"/>
      <c r="F24" s="121"/>
      <c r="G24" s="121"/>
      <c r="H24" s="121"/>
      <c r="I24" s="15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21"/>
      <c r="D25" s="121"/>
      <c r="E25" s="121"/>
      <c r="F25" s="121"/>
      <c r="G25" s="121"/>
      <c r="H25" s="121"/>
      <c r="I25" s="15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6">
        <v>1</v>
      </c>
      <c r="D26" s="126"/>
      <c r="E26" s="126">
        <v>2</v>
      </c>
      <c r="F26" s="126"/>
      <c r="G26" s="126"/>
      <c r="H26" s="126"/>
      <c r="I26" s="151"/>
      <c r="K26" s="165">
        <f>C26/2</f>
        <v>0.5</v>
      </c>
      <c r="L26" s="165">
        <f t="shared" ref="L26:Q26" si="14">D26/2</f>
        <v>0</v>
      </c>
      <c r="M26" s="165">
        <f t="shared" si="14"/>
        <v>1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C27" s="100"/>
      <c r="D27" s="152"/>
      <c r="E27" s="152"/>
      <c r="F27" s="100"/>
      <c r="G27" s="152"/>
      <c r="H27" s="152"/>
      <c r="I27" s="100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3"/>
      <c r="D28" s="153"/>
      <c r="E28" s="153"/>
      <c r="F28" s="153"/>
      <c r="G28" s="153"/>
      <c r="H28" s="153"/>
      <c r="I28" s="154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8"/>
      <c r="D29" s="148"/>
      <c r="E29" s="148"/>
      <c r="F29" s="148"/>
      <c r="G29" s="148"/>
      <c r="H29" s="148"/>
      <c r="I29" s="149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21">
        <v>2</v>
      </c>
      <c r="D30" s="121"/>
      <c r="E30" s="121"/>
      <c r="F30" s="121"/>
      <c r="G30" s="121"/>
      <c r="H30" s="121"/>
      <c r="I30" s="150"/>
      <c r="K30" s="164">
        <f>C30</f>
        <v>2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21"/>
      <c r="D31" s="121"/>
      <c r="E31" s="121"/>
      <c r="F31" s="121"/>
      <c r="G31" s="121"/>
      <c r="H31" s="121"/>
      <c r="I31" s="15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21"/>
      <c r="D32" s="121"/>
      <c r="E32" s="121"/>
      <c r="F32" s="121">
        <v>1</v>
      </c>
      <c r="G32" s="121"/>
      <c r="H32" s="121"/>
      <c r="I32" s="15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1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6"/>
      <c r="D33" s="126"/>
      <c r="E33" s="126"/>
      <c r="F33" s="126"/>
      <c r="G33" s="126"/>
      <c r="H33" s="126"/>
      <c r="I33" s="151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27</v>
      </c>
      <c r="D35" s="141">
        <f t="shared" ref="D35:I35" si="18">SUM(D5:D13,D16:D26,D29:D33)</f>
        <v>10</v>
      </c>
      <c r="E35" s="141">
        <f t="shared" si="18"/>
        <v>10</v>
      </c>
      <c r="F35" s="141">
        <f t="shared" si="18"/>
        <v>13</v>
      </c>
      <c r="G35" s="141">
        <f t="shared" si="18"/>
        <v>0</v>
      </c>
      <c r="H35" s="141">
        <f t="shared" si="18"/>
        <v>0</v>
      </c>
      <c r="I35" s="141">
        <f t="shared" si="18"/>
        <v>10</v>
      </c>
      <c r="K35" s="28">
        <f>SUM(K5:K33)</f>
        <v>21.5</v>
      </c>
      <c r="L35" s="28">
        <f t="shared" ref="L35:Q35" si="19">SUM(L5:L33)</f>
        <v>7.5</v>
      </c>
      <c r="M35" s="28">
        <f t="shared" si="19"/>
        <v>7</v>
      </c>
      <c r="N35" s="28">
        <f t="shared" si="19"/>
        <v>10</v>
      </c>
      <c r="O35" s="28">
        <f t="shared" si="19"/>
        <v>0</v>
      </c>
      <c r="P35" s="28">
        <f t="shared" si="19"/>
        <v>0</v>
      </c>
      <c r="Q35" s="28">
        <f t="shared" si="19"/>
        <v>7.75</v>
      </c>
    </row>
  </sheetData>
  <sheetProtection algorithmName="SHA-512" hashValue="M75Yevp85jyHsYRWg1xK0l+WX3i1kOuFGWNCz8ML8DxgoyJF07mRr56kNKo4uIq4q0zTaQWIf971odxYuIBt/g==" saltValue="UyQVOrvHPTdq3Cbje3nEF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F2F2-18E1-437B-8D89-88A33D16843C}">
  <sheetPr codeName="Sheet7"/>
  <dimension ref="A1:AE35"/>
  <sheetViews>
    <sheetView topLeftCell="A25" workbookViewId="0">
      <selection activeCell="I2" sqref="I2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2</v>
      </c>
      <c r="J3" s="101"/>
      <c r="K3" s="160">
        <f t="shared" ref="K3:Q3" si="0">K35/C3</f>
        <v>4.708333333333333</v>
      </c>
      <c r="L3" s="160">
        <f t="shared" si="0"/>
        <v>4.75</v>
      </c>
      <c r="M3" s="160">
        <f t="shared" si="0"/>
        <v>6</v>
      </c>
      <c r="N3" s="160">
        <f t="shared" si="0"/>
        <v>6.875</v>
      </c>
      <c r="O3" s="160" t="e">
        <f t="shared" si="0"/>
        <v>#DIV/0!</v>
      </c>
      <c r="P3" s="160">
        <f t="shared" si="0"/>
        <v>5.375</v>
      </c>
      <c r="Q3" s="160">
        <f t="shared" si="0"/>
        <v>5.75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1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8">
        <v>6</v>
      </c>
      <c r="D5" s="148">
        <v>6</v>
      </c>
      <c r="E5" s="148">
        <v>2</v>
      </c>
      <c r="F5" s="148">
        <v>13</v>
      </c>
      <c r="G5" s="148"/>
      <c r="H5" s="148">
        <v>2</v>
      </c>
      <c r="I5" s="149">
        <v>11</v>
      </c>
      <c r="K5" s="163">
        <f>C5*0.75</f>
        <v>4.5</v>
      </c>
      <c r="L5" s="163">
        <f t="shared" ref="L5:Q7" si="1">D5*0.75</f>
        <v>4.5</v>
      </c>
      <c r="M5" s="163">
        <f t="shared" si="1"/>
        <v>1.5</v>
      </c>
      <c r="N5" s="163">
        <f t="shared" si="1"/>
        <v>9.75</v>
      </c>
      <c r="O5" s="163">
        <f t="shared" si="1"/>
        <v>0</v>
      </c>
      <c r="P5" s="163">
        <f t="shared" si="1"/>
        <v>1.5</v>
      </c>
      <c r="Q5" s="163">
        <f t="shared" si="1"/>
        <v>8.25</v>
      </c>
    </row>
    <row r="6" spans="1:31" ht="15.75" customHeight="1" x14ac:dyDescent="0.25">
      <c r="A6" s="117">
        <v>2</v>
      </c>
      <c r="B6" s="118" t="s">
        <v>5</v>
      </c>
      <c r="C6" s="121"/>
      <c r="D6" s="121"/>
      <c r="E6" s="121">
        <v>1</v>
      </c>
      <c r="F6" s="121"/>
      <c r="G6" s="121"/>
      <c r="H6" s="121"/>
      <c r="I6" s="150"/>
      <c r="K6" s="164">
        <f t="shared" ref="K6:K7" si="2">C6*0.75</f>
        <v>0</v>
      </c>
      <c r="L6" s="164">
        <f t="shared" si="1"/>
        <v>0</v>
      </c>
      <c r="M6" s="164">
        <f t="shared" si="1"/>
        <v>0.75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21"/>
      <c r="D7" s="121"/>
      <c r="E7" s="121"/>
      <c r="F7" s="121"/>
      <c r="G7" s="121"/>
      <c r="H7" s="121"/>
      <c r="I7" s="15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21">
        <v>1</v>
      </c>
      <c r="D8" s="121"/>
      <c r="E8" s="121"/>
      <c r="F8" s="121"/>
      <c r="G8" s="121"/>
      <c r="H8" s="121">
        <v>1</v>
      </c>
      <c r="I8" s="150"/>
      <c r="K8" s="164">
        <f>C8</f>
        <v>1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1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21"/>
      <c r="D9" s="121"/>
      <c r="E9" s="121"/>
      <c r="F9" s="121"/>
      <c r="G9" s="121"/>
      <c r="H9" s="121"/>
      <c r="I9" s="150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21"/>
      <c r="D10" s="121"/>
      <c r="E10" s="121"/>
      <c r="F10" s="121"/>
      <c r="G10" s="121"/>
      <c r="H10" s="121"/>
      <c r="I10" s="15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21"/>
      <c r="D11" s="121"/>
      <c r="E11" s="121">
        <v>1</v>
      </c>
      <c r="F11" s="121"/>
      <c r="G11" s="121"/>
      <c r="H11" s="121"/>
      <c r="I11" s="150"/>
      <c r="K11" s="164">
        <f>C11</f>
        <v>0</v>
      </c>
      <c r="L11" s="164">
        <f t="shared" ref="L11:Q11" si="5">D11</f>
        <v>0</v>
      </c>
      <c r="M11" s="164">
        <f t="shared" si="5"/>
        <v>1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21"/>
      <c r="D12" s="121"/>
      <c r="E12" s="121">
        <v>3</v>
      </c>
      <c r="F12" s="121"/>
      <c r="G12" s="121"/>
      <c r="H12" s="121"/>
      <c r="I12" s="150"/>
      <c r="K12" s="164">
        <f>C12/2</f>
        <v>0</v>
      </c>
      <c r="L12" s="164">
        <f t="shared" ref="L12:Q12" si="6">D12/2</f>
        <v>0</v>
      </c>
      <c r="M12" s="164">
        <f t="shared" si="6"/>
        <v>1.5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6">
        <v>1</v>
      </c>
      <c r="D13" s="126"/>
      <c r="E13" s="126"/>
      <c r="F13" s="126"/>
      <c r="G13" s="126"/>
      <c r="H13" s="126"/>
      <c r="I13" s="151"/>
      <c r="K13" s="165">
        <f>C13/3</f>
        <v>0.33333333333333331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2"/>
      <c r="D14" s="100"/>
      <c r="E14" s="152"/>
      <c r="F14" s="100"/>
      <c r="G14" s="152"/>
      <c r="H14" s="152"/>
      <c r="I14" s="100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3"/>
      <c r="D15" s="153"/>
      <c r="E15" s="153"/>
      <c r="F15" s="153"/>
      <c r="G15" s="153"/>
      <c r="H15" s="153"/>
      <c r="I15" s="154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8">
        <v>16</v>
      </c>
      <c r="D16" s="148">
        <v>6</v>
      </c>
      <c r="E16" s="148">
        <v>5</v>
      </c>
      <c r="F16" s="148">
        <v>4</v>
      </c>
      <c r="G16" s="148"/>
      <c r="H16" s="148">
        <v>5</v>
      </c>
      <c r="I16" s="149">
        <v>1</v>
      </c>
      <c r="K16" s="163">
        <f>C16*0.75</f>
        <v>12</v>
      </c>
      <c r="L16" s="163">
        <f t="shared" ref="L16:Q17" si="8">D16*0.75</f>
        <v>4.5</v>
      </c>
      <c r="M16" s="163">
        <f t="shared" si="8"/>
        <v>3.75</v>
      </c>
      <c r="N16" s="163">
        <f t="shared" si="8"/>
        <v>3</v>
      </c>
      <c r="O16" s="163">
        <f t="shared" si="8"/>
        <v>0</v>
      </c>
      <c r="P16" s="163">
        <f t="shared" si="8"/>
        <v>3.75</v>
      </c>
      <c r="Q16" s="163">
        <f t="shared" si="8"/>
        <v>0.75</v>
      </c>
    </row>
    <row r="17" spans="1:17" ht="15.75" customHeight="1" x14ac:dyDescent="0.25">
      <c r="A17" s="117">
        <v>2</v>
      </c>
      <c r="B17" s="118" t="s">
        <v>15</v>
      </c>
      <c r="C17" s="121"/>
      <c r="D17" s="121"/>
      <c r="E17" s="121"/>
      <c r="F17" s="121"/>
      <c r="G17" s="121"/>
      <c r="H17" s="121"/>
      <c r="I17" s="15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21"/>
      <c r="D18" s="121"/>
      <c r="E18" s="121"/>
      <c r="F18" s="121"/>
      <c r="G18" s="121"/>
      <c r="H18" s="121">
        <v>3</v>
      </c>
      <c r="I18" s="150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3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21"/>
      <c r="D19" s="121"/>
      <c r="E19" s="121"/>
      <c r="F19" s="121"/>
      <c r="G19" s="121"/>
      <c r="H19" s="121"/>
      <c r="I19" s="150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21"/>
      <c r="D20" s="121"/>
      <c r="E20" s="121">
        <v>2</v>
      </c>
      <c r="F20" s="121"/>
      <c r="G20" s="121"/>
      <c r="H20" s="121"/>
      <c r="I20" s="150"/>
      <c r="K20" s="164">
        <f>C20</f>
        <v>0</v>
      </c>
      <c r="L20" s="164">
        <f t="shared" ref="L20:Q20" si="11">D20</f>
        <v>0</v>
      </c>
      <c r="M20" s="164">
        <f t="shared" si="11"/>
        <v>2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21"/>
      <c r="D21" s="121"/>
      <c r="E21" s="121"/>
      <c r="F21" s="121"/>
      <c r="G21" s="121"/>
      <c r="H21" s="121"/>
      <c r="I21" s="15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21"/>
      <c r="D22" s="121"/>
      <c r="E22" s="121"/>
      <c r="F22" s="121"/>
      <c r="G22" s="121"/>
      <c r="H22" s="121"/>
      <c r="I22" s="15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21"/>
      <c r="D23" s="121"/>
      <c r="E23" s="121"/>
      <c r="F23" s="121"/>
      <c r="G23" s="121"/>
      <c r="H23" s="121"/>
      <c r="I23" s="15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21"/>
      <c r="D24" s="121"/>
      <c r="E24" s="121"/>
      <c r="F24" s="121"/>
      <c r="G24" s="121"/>
      <c r="H24" s="121"/>
      <c r="I24" s="15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21"/>
      <c r="D25" s="121"/>
      <c r="E25" s="121"/>
      <c r="F25" s="121"/>
      <c r="G25" s="121"/>
      <c r="H25" s="121"/>
      <c r="I25" s="15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6"/>
      <c r="D26" s="126">
        <v>1</v>
      </c>
      <c r="E26" s="126">
        <v>1</v>
      </c>
      <c r="F26" s="126"/>
      <c r="G26" s="126"/>
      <c r="H26" s="126"/>
      <c r="I26" s="151">
        <v>3</v>
      </c>
      <c r="K26" s="165">
        <f>C26/2</f>
        <v>0</v>
      </c>
      <c r="L26" s="165">
        <f t="shared" ref="L26:Q26" si="14">D26/2</f>
        <v>0.5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1.5</v>
      </c>
    </row>
    <row r="27" spans="1:17" ht="15" customHeight="1" thickBot="1" x14ac:dyDescent="0.3">
      <c r="A27" s="135"/>
      <c r="B27" s="136"/>
      <c r="C27" s="100"/>
      <c r="D27" s="152"/>
      <c r="E27" s="152"/>
      <c r="F27" s="100"/>
      <c r="G27" s="152"/>
      <c r="H27" s="152"/>
      <c r="I27" s="100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3"/>
      <c r="D28" s="153"/>
      <c r="E28" s="153"/>
      <c r="F28" s="153"/>
      <c r="G28" s="153"/>
      <c r="H28" s="153"/>
      <c r="I28" s="154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8"/>
      <c r="D29" s="148"/>
      <c r="E29" s="148"/>
      <c r="F29" s="148"/>
      <c r="G29" s="148"/>
      <c r="H29" s="148"/>
      <c r="I29" s="149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21"/>
      <c r="D30" s="121"/>
      <c r="E30" s="121"/>
      <c r="F30" s="121"/>
      <c r="G30" s="121"/>
      <c r="H30" s="121"/>
      <c r="I30" s="150">
        <v>1</v>
      </c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1</v>
      </c>
    </row>
    <row r="31" spans="1:17" ht="15.75" customHeight="1" x14ac:dyDescent="0.25">
      <c r="A31" s="117">
        <v>3</v>
      </c>
      <c r="B31" s="138" t="s">
        <v>27</v>
      </c>
      <c r="C31" s="121">
        <v>1</v>
      </c>
      <c r="D31" s="121"/>
      <c r="E31" s="121"/>
      <c r="F31" s="121"/>
      <c r="G31" s="121"/>
      <c r="H31" s="121"/>
      <c r="I31" s="150"/>
      <c r="K31" s="164">
        <f>C31</f>
        <v>1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21"/>
      <c r="D32" s="121"/>
      <c r="E32" s="121"/>
      <c r="F32" s="121"/>
      <c r="G32" s="121"/>
      <c r="H32" s="121"/>
      <c r="I32" s="15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6"/>
      <c r="D33" s="126"/>
      <c r="E33" s="126">
        <v>2</v>
      </c>
      <c r="F33" s="126">
        <v>2</v>
      </c>
      <c r="G33" s="126"/>
      <c r="H33" s="126">
        <v>3</v>
      </c>
      <c r="I33" s="151"/>
      <c r="K33" s="165">
        <f>C33/2</f>
        <v>0</v>
      </c>
      <c r="L33" s="165">
        <f t="shared" ref="L33:Q33" si="17">D33/2</f>
        <v>0</v>
      </c>
      <c r="M33" s="165">
        <f t="shared" si="17"/>
        <v>1</v>
      </c>
      <c r="N33" s="165">
        <f t="shared" si="17"/>
        <v>1</v>
      </c>
      <c r="O33" s="165">
        <f t="shared" si="17"/>
        <v>0</v>
      </c>
      <c r="P33" s="165">
        <f t="shared" si="17"/>
        <v>1.5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25</v>
      </c>
      <c r="D35" s="141">
        <f t="shared" ref="D35:I35" si="18">SUM(D5:D13,D16:D26,D29:D33)</f>
        <v>13</v>
      </c>
      <c r="E35" s="141">
        <f t="shared" si="18"/>
        <v>17</v>
      </c>
      <c r="F35" s="141">
        <f t="shared" si="18"/>
        <v>19</v>
      </c>
      <c r="G35" s="141">
        <f t="shared" si="18"/>
        <v>0</v>
      </c>
      <c r="H35" s="141">
        <f t="shared" si="18"/>
        <v>14</v>
      </c>
      <c r="I35" s="141">
        <f t="shared" si="18"/>
        <v>16</v>
      </c>
      <c r="K35" s="28">
        <f>SUM(K5:K33)</f>
        <v>18.833333333333332</v>
      </c>
      <c r="L35" s="28">
        <f t="shared" ref="L35:Q35" si="19">SUM(L5:L33)</f>
        <v>9.5</v>
      </c>
      <c r="M35" s="28">
        <f t="shared" si="19"/>
        <v>12</v>
      </c>
      <c r="N35" s="28">
        <f t="shared" si="19"/>
        <v>13.75</v>
      </c>
      <c r="O35" s="28">
        <f t="shared" si="19"/>
        <v>0</v>
      </c>
      <c r="P35" s="28">
        <f t="shared" si="19"/>
        <v>10.75</v>
      </c>
      <c r="Q35" s="28">
        <f t="shared" si="19"/>
        <v>11.5</v>
      </c>
    </row>
  </sheetData>
  <sheetProtection algorithmName="SHA-512" hashValue="1BFPxDCHijzEGI1Gsi/4dgpbNGAs41QF/Vqqq79JU1ihjFnt2EgmFXBVqso6LT2GhKKjxJ6VvXpv0i4tVctdeA==" saltValue="BCU8S+dbRdFZmFU+3U5AP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DC30-9F54-4B59-A0CA-FF30ADB6ADEB}">
  <sheetPr codeName="Sheet10"/>
  <dimension ref="A1:AE35"/>
  <sheetViews>
    <sheetView workbookViewId="0">
      <selection activeCell="I29" sqref="I29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1</v>
      </c>
      <c r="J3" s="101"/>
      <c r="K3" s="160">
        <f t="shared" ref="K3:Q3" si="0">K35/C3</f>
        <v>6.25</v>
      </c>
      <c r="L3" s="160">
        <f t="shared" si="0"/>
        <v>5.625</v>
      </c>
      <c r="M3" s="160">
        <f t="shared" si="0"/>
        <v>5</v>
      </c>
      <c r="N3" s="160">
        <f t="shared" si="0"/>
        <v>7.375</v>
      </c>
      <c r="O3" s="160" t="e">
        <f t="shared" si="0"/>
        <v>#DIV/0!</v>
      </c>
      <c r="P3" s="160">
        <f t="shared" si="0"/>
        <v>6.125</v>
      </c>
      <c r="Q3" s="160">
        <f t="shared" si="0"/>
        <v>6.25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1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8">
        <v>16</v>
      </c>
      <c r="D5" s="148">
        <v>4</v>
      </c>
      <c r="E5" s="148">
        <v>6</v>
      </c>
      <c r="F5" s="148">
        <v>17</v>
      </c>
      <c r="G5" s="148"/>
      <c r="H5" s="148">
        <v>2</v>
      </c>
      <c r="I5" s="149">
        <v>4</v>
      </c>
      <c r="K5" s="163">
        <f>C5*0.75</f>
        <v>12</v>
      </c>
      <c r="L5" s="163">
        <f t="shared" ref="L5:Q7" si="1">D5*0.75</f>
        <v>3</v>
      </c>
      <c r="M5" s="163">
        <f t="shared" si="1"/>
        <v>4.5</v>
      </c>
      <c r="N5" s="163">
        <f t="shared" si="1"/>
        <v>12.75</v>
      </c>
      <c r="O5" s="163">
        <f t="shared" si="1"/>
        <v>0</v>
      </c>
      <c r="P5" s="163">
        <f t="shared" si="1"/>
        <v>1.5</v>
      </c>
      <c r="Q5" s="163">
        <f t="shared" si="1"/>
        <v>3</v>
      </c>
    </row>
    <row r="6" spans="1:31" ht="15.75" customHeight="1" x14ac:dyDescent="0.25">
      <c r="A6" s="117">
        <v>2</v>
      </c>
      <c r="B6" s="118" t="s">
        <v>5</v>
      </c>
      <c r="C6" s="121"/>
      <c r="D6" s="121"/>
      <c r="E6" s="121"/>
      <c r="F6" s="121"/>
      <c r="G6" s="121"/>
      <c r="H6" s="121"/>
      <c r="I6" s="15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21"/>
      <c r="D7" s="121"/>
      <c r="E7" s="121"/>
      <c r="F7" s="121"/>
      <c r="G7" s="121"/>
      <c r="H7" s="121"/>
      <c r="I7" s="15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21">
        <v>1</v>
      </c>
      <c r="D8" s="121"/>
      <c r="E8" s="121"/>
      <c r="F8" s="121"/>
      <c r="G8" s="121"/>
      <c r="H8" s="121"/>
      <c r="I8" s="150"/>
      <c r="K8" s="164">
        <f>C8</f>
        <v>1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21"/>
      <c r="D9" s="121"/>
      <c r="E9" s="121"/>
      <c r="F9" s="121"/>
      <c r="G9" s="121"/>
      <c r="H9" s="121"/>
      <c r="I9" s="150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21"/>
      <c r="D10" s="121"/>
      <c r="E10" s="121"/>
      <c r="F10" s="121"/>
      <c r="G10" s="121"/>
      <c r="H10" s="121"/>
      <c r="I10" s="15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21"/>
      <c r="D11" s="121"/>
      <c r="E11" s="121"/>
      <c r="F11" s="121"/>
      <c r="G11" s="121"/>
      <c r="H11" s="121">
        <v>2</v>
      </c>
      <c r="I11" s="15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2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21"/>
      <c r="D12" s="121"/>
      <c r="E12" s="121"/>
      <c r="F12" s="121"/>
      <c r="G12" s="121"/>
      <c r="H12" s="121"/>
      <c r="I12" s="150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6"/>
      <c r="D13" s="126"/>
      <c r="E13" s="126"/>
      <c r="F13" s="126"/>
      <c r="G13" s="126"/>
      <c r="H13" s="126"/>
      <c r="I13" s="151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2"/>
      <c r="D14" s="100"/>
      <c r="E14" s="152"/>
      <c r="F14" s="100"/>
      <c r="G14" s="152"/>
      <c r="H14" s="152"/>
      <c r="I14" s="100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3"/>
      <c r="D15" s="153"/>
      <c r="E15" s="153"/>
      <c r="F15" s="153"/>
      <c r="G15" s="153"/>
      <c r="H15" s="153"/>
      <c r="I15" s="154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8">
        <v>16</v>
      </c>
      <c r="D16" s="148">
        <v>11</v>
      </c>
      <c r="E16" s="148">
        <v>3</v>
      </c>
      <c r="F16" s="148">
        <v>2</v>
      </c>
      <c r="G16" s="148"/>
      <c r="H16" s="148">
        <v>1</v>
      </c>
      <c r="I16" s="149">
        <v>2</v>
      </c>
      <c r="K16" s="163">
        <f>C16*0.75</f>
        <v>12</v>
      </c>
      <c r="L16" s="163">
        <f t="shared" ref="L16:Q17" si="8">D16*0.75</f>
        <v>8.25</v>
      </c>
      <c r="M16" s="163">
        <f t="shared" si="8"/>
        <v>2.25</v>
      </c>
      <c r="N16" s="163">
        <f t="shared" si="8"/>
        <v>1.5</v>
      </c>
      <c r="O16" s="163">
        <f t="shared" si="8"/>
        <v>0</v>
      </c>
      <c r="P16" s="163">
        <f t="shared" si="8"/>
        <v>0.75</v>
      </c>
      <c r="Q16" s="163">
        <f t="shared" si="8"/>
        <v>1.5</v>
      </c>
    </row>
    <row r="17" spans="1:17" ht="15.75" customHeight="1" x14ac:dyDescent="0.25">
      <c r="A17" s="117">
        <v>2</v>
      </c>
      <c r="B17" s="118" t="s">
        <v>15</v>
      </c>
      <c r="C17" s="121"/>
      <c r="D17" s="121"/>
      <c r="E17" s="121">
        <v>1</v>
      </c>
      <c r="F17" s="121"/>
      <c r="G17" s="121"/>
      <c r="H17" s="121"/>
      <c r="I17" s="150"/>
      <c r="K17" s="164">
        <f>C17*0.75</f>
        <v>0</v>
      </c>
      <c r="L17" s="164">
        <f t="shared" si="8"/>
        <v>0</v>
      </c>
      <c r="M17" s="164">
        <f t="shared" si="8"/>
        <v>0.75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21"/>
      <c r="D18" s="121"/>
      <c r="E18" s="121"/>
      <c r="F18" s="121"/>
      <c r="G18" s="121"/>
      <c r="H18" s="121">
        <v>1</v>
      </c>
      <c r="I18" s="150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1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21"/>
      <c r="D19" s="121"/>
      <c r="E19" s="121"/>
      <c r="F19" s="121"/>
      <c r="G19" s="121"/>
      <c r="H19" s="121"/>
      <c r="I19" s="150">
        <v>1</v>
      </c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0.75</v>
      </c>
    </row>
    <row r="20" spans="1:17" ht="15.75" customHeight="1" x14ac:dyDescent="0.25">
      <c r="A20" s="117">
        <v>5</v>
      </c>
      <c r="B20" s="118" t="s">
        <v>10</v>
      </c>
      <c r="C20" s="121"/>
      <c r="D20" s="121"/>
      <c r="E20" s="121"/>
      <c r="F20" s="121"/>
      <c r="G20" s="121"/>
      <c r="H20" s="121"/>
      <c r="I20" s="15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21"/>
      <c r="D21" s="121"/>
      <c r="E21" s="121"/>
      <c r="F21" s="121"/>
      <c r="G21" s="121"/>
      <c r="H21" s="121"/>
      <c r="I21" s="15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21"/>
      <c r="D22" s="121"/>
      <c r="E22" s="121"/>
      <c r="F22" s="121"/>
      <c r="G22" s="121"/>
      <c r="H22" s="121"/>
      <c r="I22" s="15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21"/>
      <c r="D23" s="121"/>
      <c r="E23" s="121"/>
      <c r="F23" s="121"/>
      <c r="G23" s="121"/>
      <c r="H23" s="121"/>
      <c r="I23" s="15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21"/>
      <c r="D24" s="121"/>
      <c r="E24" s="121"/>
      <c r="F24" s="121"/>
      <c r="G24" s="121"/>
      <c r="H24" s="121"/>
      <c r="I24" s="15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21"/>
      <c r="D25" s="121"/>
      <c r="E25" s="121"/>
      <c r="F25" s="121"/>
      <c r="G25" s="121"/>
      <c r="H25" s="121"/>
      <c r="I25" s="15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6"/>
      <c r="D26" s="126"/>
      <c r="E26" s="126">
        <v>1</v>
      </c>
      <c r="F26" s="126"/>
      <c r="G26" s="126"/>
      <c r="H26" s="126"/>
      <c r="I26" s="151"/>
      <c r="K26" s="165">
        <f>C26/2</f>
        <v>0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C27" s="100"/>
      <c r="D27" s="152"/>
      <c r="E27" s="152"/>
      <c r="F27" s="100"/>
      <c r="G27" s="152"/>
      <c r="H27" s="152"/>
      <c r="I27" s="100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3"/>
      <c r="D28" s="153"/>
      <c r="E28" s="153"/>
      <c r="F28" s="153"/>
      <c r="G28" s="153"/>
      <c r="H28" s="153"/>
      <c r="I28" s="154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8"/>
      <c r="D29" s="148"/>
      <c r="E29" s="148"/>
      <c r="F29" s="148"/>
      <c r="G29" s="148"/>
      <c r="H29" s="148"/>
      <c r="I29" s="149">
        <v>2</v>
      </c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1</v>
      </c>
    </row>
    <row r="30" spans="1:17" ht="15.75" customHeight="1" x14ac:dyDescent="0.25">
      <c r="A30" s="117">
        <v>2</v>
      </c>
      <c r="B30" s="138" t="s">
        <v>26</v>
      </c>
      <c r="C30" s="121"/>
      <c r="D30" s="121"/>
      <c r="E30" s="121"/>
      <c r="F30" s="121"/>
      <c r="G30" s="121"/>
      <c r="H30" s="121">
        <v>7</v>
      </c>
      <c r="I30" s="150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7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21"/>
      <c r="D31" s="121"/>
      <c r="E31" s="121">
        <v>1</v>
      </c>
      <c r="F31" s="121"/>
      <c r="G31" s="121"/>
      <c r="H31" s="121"/>
      <c r="I31" s="150"/>
      <c r="K31" s="164">
        <f>C31</f>
        <v>0</v>
      </c>
      <c r="L31" s="164">
        <f t="shared" si="16"/>
        <v>0</v>
      </c>
      <c r="M31" s="164">
        <f t="shared" si="16"/>
        <v>1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21"/>
      <c r="D32" s="121"/>
      <c r="E32" s="121"/>
      <c r="F32" s="121"/>
      <c r="G32" s="121"/>
      <c r="H32" s="121"/>
      <c r="I32" s="15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6"/>
      <c r="D33" s="126"/>
      <c r="E33" s="126">
        <v>2</v>
      </c>
      <c r="F33" s="126">
        <v>1</v>
      </c>
      <c r="G33" s="126"/>
      <c r="H33" s="126"/>
      <c r="I33" s="151"/>
      <c r="K33" s="165">
        <f>C33/2</f>
        <v>0</v>
      </c>
      <c r="L33" s="165">
        <f t="shared" ref="L33:Q33" si="17">D33/2</f>
        <v>0</v>
      </c>
      <c r="M33" s="165">
        <f t="shared" si="17"/>
        <v>1</v>
      </c>
      <c r="N33" s="165">
        <f t="shared" si="17"/>
        <v>0.5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33</v>
      </c>
      <c r="D35" s="141">
        <f t="shared" ref="D35:I35" si="18">SUM(D5:D13,D16:D26,D29:D33)</f>
        <v>15</v>
      </c>
      <c r="E35" s="141">
        <f t="shared" si="18"/>
        <v>14</v>
      </c>
      <c r="F35" s="141">
        <f t="shared" si="18"/>
        <v>20</v>
      </c>
      <c r="G35" s="141">
        <f t="shared" si="18"/>
        <v>0</v>
      </c>
      <c r="H35" s="141">
        <f t="shared" si="18"/>
        <v>13</v>
      </c>
      <c r="I35" s="141">
        <f t="shared" si="18"/>
        <v>9</v>
      </c>
      <c r="K35" s="28">
        <f>SUM(K5:K33)</f>
        <v>25</v>
      </c>
      <c r="L35" s="28">
        <f t="shared" ref="L35:Q35" si="19">SUM(L5:L33)</f>
        <v>11.25</v>
      </c>
      <c r="M35" s="28">
        <f t="shared" si="19"/>
        <v>10</v>
      </c>
      <c r="N35" s="28">
        <f t="shared" si="19"/>
        <v>14.75</v>
      </c>
      <c r="O35" s="28">
        <f t="shared" si="19"/>
        <v>0</v>
      </c>
      <c r="P35" s="28">
        <f t="shared" si="19"/>
        <v>12.25</v>
      </c>
      <c r="Q35" s="28">
        <f t="shared" si="19"/>
        <v>6.25</v>
      </c>
    </row>
  </sheetData>
  <sheetProtection algorithmName="SHA-512" hashValue="jgHe75LKohVj2DPcDPtECwpMNXV0En2zus6DKvGf7Jgy61NCAsPvuZX/cuXBLfBI6oG2qI4pmmKzNRoo8o0xrg==" saltValue="jBwLWmgbZGUpxenYtMcOj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610B-1394-4186-B137-D8AB1DA7D147}">
  <sheetPr codeName="Sheet11"/>
  <dimension ref="A1:AE35"/>
  <sheetViews>
    <sheetView workbookViewId="0">
      <selection activeCell="G10" sqref="G10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2</v>
      </c>
      <c r="J3" s="101"/>
      <c r="K3" s="160">
        <f t="shared" ref="K3:Q3" si="0">K35/C3</f>
        <v>5.8125</v>
      </c>
      <c r="L3" s="160">
        <f t="shared" si="0"/>
        <v>6</v>
      </c>
      <c r="M3" s="160">
        <f t="shared" si="0"/>
        <v>6.375</v>
      </c>
      <c r="N3" s="160">
        <f t="shared" si="0"/>
        <v>6.625</v>
      </c>
      <c r="O3" s="160" t="e">
        <f t="shared" si="0"/>
        <v>#DIV/0!</v>
      </c>
      <c r="P3" s="160">
        <f t="shared" si="0"/>
        <v>4.5</v>
      </c>
      <c r="Q3" s="160">
        <f t="shared" si="0"/>
        <v>6.375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1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8">
        <v>13</v>
      </c>
      <c r="D5" s="148">
        <v>6</v>
      </c>
      <c r="E5" s="148">
        <v>2</v>
      </c>
      <c r="F5" s="148">
        <v>12</v>
      </c>
      <c r="G5" s="148"/>
      <c r="H5" s="148">
        <v>1</v>
      </c>
      <c r="I5" s="149">
        <v>11</v>
      </c>
      <c r="K5" s="163">
        <f>C5*0.75</f>
        <v>9.75</v>
      </c>
      <c r="L5" s="163">
        <f t="shared" ref="L5:Q7" si="1">D5*0.75</f>
        <v>4.5</v>
      </c>
      <c r="M5" s="163">
        <f t="shared" si="1"/>
        <v>1.5</v>
      </c>
      <c r="N5" s="163">
        <f t="shared" si="1"/>
        <v>9</v>
      </c>
      <c r="O5" s="163">
        <f t="shared" si="1"/>
        <v>0</v>
      </c>
      <c r="P5" s="163">
        <f t="shared" si="1"/>
        <v>0.75</v>
      </c>
      <c r="Q5" s="163">
        <f t="shared" si="1"/>
        <v>8.25</v>
      </c>
    </row>
    <row r="6" spans="1:31" ht="15.75" customHeight="1" x14ac:dyDescent="0.25">
      <c r="A6" s="117">
        <v>2</v>
      </c>
      <c r="B6" s="118" t="s">
        <v>5</v>
      </c>
      <c r="C6" s="121"/>
      <c r="D6" s="121"/>
      <c r="E6" s="121"/>
      <c r="F6" s="121"/>
      <c r="G6" s="121"/>
      <c r="H6" s="121">
        <v>1</v>
      </c>
      <c r="I6" s="15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0.75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21"/>
      <c r="D7" s="121"/>
      <c r="E7" s="121"/>
      <c r="F7" s="121"/>
      <c r="G7" s="121"/>
      <c r="H7" s="121"/>
      <c r="I7" s="150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21"/>
      <c r="D8" s="121"/>
      <c r="E8" s="121"/>
      <c r="F8" s="121"/>
      <c r="G8" s="121"/>
      <c r="H8" s="121"/>
      <c r="I8" s="150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21"/>
      <c r="D9" s="121"/>
      <c r="E9" s="121"/>
      <c r="F9" s="121"/>
      <c r="G9" s="121"/>
      <c r="H9" s="121"/>
      <c r="I9" s="150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21"/>
      <c r="D10" s="121"/>
      <c r="E10" s="121"/>
      <c r="F10" s="121"/>
      <c r="G10" s="121"/>
      <c r="H10" s="121"/>
      <c r="I10" s="15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21"/>
      <c r="D11" s="121"/>
      <c r="E11" s="121"/>
      <c r="F11" s="121"/>
      <c r="G11" s="121"/>
      <c r="H11" s="121"/>
      <c r="I11" s="15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21"/>
      <c r="D12" s="121"/>
      <c r="E12" s="121"/>
      <c r="F12" s="121"/>
      <c r="G12" s="121"/>
      <c r="H12" s="121"/>
      <c r="I12" s="150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6"/>
      <c r="D13" s="126"/>
      <c r="E13" s="126"/>
      <c r="F13" s="126"/>
      <c r="G13" s="126"/>
      <c r="H13" s="126"/>
      <c r="I13" s="151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2"/>
      <c r="D14" s="100"/>
      <c r="E14" s="152"/>
      <c r="F14" s="100"/>
      <c r="G14" s="152"/>
      <c r="H14" s="152"/>
      <c r="I14" s="100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3"/>
      <c r="D15" s="153"/>
      <c r="E15" s="153"/>
      <c r="F15" s="153"/>
      <c r="G15" s="153"/>
      <c r="H15" s="153"/>
      <c r="I15" s="154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8">
        <v>14</v>
      </c>
      <c r="D16" s="148">
        <v>10</v>
      </c>
      <c r="E16" s="148">
        <v>14</v>
      </c>
      <c r="F16" s="148">
        <v>2</v>
      </c>
      <c r="G16" s="148"/>
      <c r="H16" s="148">
        <v>5</v>
      </c>
      <c r="I16" s="149">
        <v>6</v>
      </c>
      <c r="K16" s="163">
        <f>C16*0.75</f>
        <v>10.5</v>
      </c>
      <c r="L16" s="163">
        <f t="shared" ref="L16:Q17" si="8">D16*0.75</f>
        <v>7.5</v>
      </c>
      <c r="M16" s="163">
        <f t="shared" si="8"/>
        <v>10.5</v>
      </c>
      <c r="N16" s="163">
        <f t="shared" si="8"/>
        <v>1.5</v>
      </c>
      <c r="O16" s="163">
        <f t="shared" si="8"/>
        <v>0</v>
      </c>
      <c r="P16" s="163">
        <f t="shared" si="8"/>
        <v>3.75</v>
      </c>
      <c r="Q16" s="163">
        <f t="shared" si="8"/>
        <v>4.5</v>
      </c>
    </row>
    <row r="17" spans="1:17" ht="15.75" customHeight="1" x14ac:dyDescent="0.25">
      <c r="A17" s="117">
        <v>2</v>
      </c>
      <c r="B17" s="118" t="s">
        <v>15</v>
      </c>
      <c r="C17" s="121">
        <v>1</v>
      </c>
      <c r="D17" s="121"/>
      <c r="E17" s="121">
        <v>1</v>
      </c>
      <c r="F17" s="121">
        <v>1</v>
      </c>
      <c r="G17" s="121"/>
      <c r="H17" s="121"/>
      <c r="I17" s="150"/>
      <c r="K17" s="164">
        <f>C17*0.75</f>
        <v>0.75</v>
      </c>
      <c r="L17" s="164">
        <f t="shared" si="8"/>
        <v>0</v>
      </c>
      <c r="M17" s="164">
        <f t="shared" si="8"/>
        <v>0.75</v>
      </c>
      <c r="N17" s="164">
        <f t="shared" si="8"/>
        <v>0.75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21"/>
      <c r="D18" s="121"/>
      <c r="E18" s="121"/>
      <c r="F18" s="121">
        <v>2</v>
      </c>
      <c r="G18" s="121"/>
      <c r="H18" s="121">
        <v>2</v>
      </c>
      <c r="I18" s="150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2</v>
      </c>
      <c r="O18" s="164">
        <f t="shared" si="9"/>
        <v>0</v>
      </c>
      <c r="P18" s="164">
        <f t="shared" si="9"/>
        <v>2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21">
        <v>1</v>
      </c>
      <c r="D19" s="121"/>
      <c r="E19" s="121"/>
      <c r="F19" s="121"/>
      <c r="G19" s="121"/>
      <c r="H19" s="121">
        <v>1</v>
      </c>
      <c r="I19" s="150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0.75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21"/>
      <c r="D20" s="121"/>
      <c r="E20" s="121"/>
      <c r="F20" s="121"/>
      <c r="G20" s="121"/>
      <c r="H20" s="121"/>
      <c r="I20" s="15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21"/>
      <c r="D21" s="121"/>
      <c r="E21" s="121"/>
      <c r="F21" s="121"/>
      <c r="G21" s="121"/>
      <c r="H21" s="121"/>
      <c r="I21" s="15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21"/>
      <c r="D22" s="121"/>
      <c r="E22" s="121"/>
      <c r="F22" s="121"/>
      <c r="G22" s="121"/>
      <c r="H22" s="121"/>
      <c r="I22" s="15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21"/>
      <c r="D23" s="121"/>
      <c r="E23" s="121"/>
      <c r="F23" s="121"/>
      <c r="G23" s="121"/>
      <c r="H23" s="121"/>
      <c r="I23" s="15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21"/>
      <c r="D24" s="121"/>
      <c r="E24" s="121"/>
      <c r="F24" s="121"/>
      <c r="G24" s="121"/>
      <c r="H24" s="121"/>
      <c r="I24" s="15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21"/>
      <c r="D25" s="121"/>
      <c r="E25" s="121"/>
      <c r="F25" s="121"/>
      <c r="G25" s="121"/>
      <c r="H25" s="121"/>
      <c r="I25" s="15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6">
        <v>2</v>
      </c>
      <c r="D26" s="126"/>
      <c r="E26" s="126"/>
      <c r="F26" s="126"/>
      <c r="G26" s="126"/>
      <c r="H26" s="126"/>
      <c r="I26" s="151"/>
      <c r="K26" s="165">
        <f>C26/2</f>
        <v>1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C27" s="100"/>
      <c r="D27" s="152"/>
      <c r="E27" s="152"/>
      <c r="F27" s="100"/>
      <c r="G27" s="152"/>
      <c r="H27" s="152"/>
      <c r="I27" s="100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3"/>
      <c r="D28" s="153"/>
      <c r="E28" s="153"/>
      <c r="F28" s="153"/>
      <c r="G28" s="153"/>
      <c r="H28" s="153"/>
      <c r="I28" s="154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8"/>
      <c r="D29" s="148"/>
      <c r="E29" s="148"/>
      <c r="F29" s="148"/>
      <c r="G29" s="148"/>
      <c r="H29" s="148"/>
      <c r="I29" s="149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21"/>
      <c r="D30" s="121"/>
      <c r="E30" s="121"/>
      <c r="F30" s="121"/>
      <c r="G30" s="121"/>
      <c r="H30" s="121"/>
      <c r="I30" s="150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21"/>
      <c r="D31" s="121"/>
      <c r="E31" s="121"/>
      <c r="F31" s="121"/>
      <c r="G31" s="121"/>
      <c r="H31" s="121"/>
      <c r="I31" s="15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21"/>
      <c r="D32" s="121"/>
      <c r="E32" s="121"/>
      <c r="F32" s="121"/>
      <c r="G32" s="121"/>
      <c r="H32" s="121"/>
      <c r="I32" s="15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6">
        <v>1</v>
      </c>
      <c r="D33" s="126"/>
      <c r="E33" s="126"/>
      <c r="F33" s="126"/>
      <c r="G33" s="126"/>
      <c r="H33" s="126">
        <v>2</v>
      </c>
      <c r="I33" s="151"/>
      <c r="K33" s="165">
        <f>C33/2</f>
        <v>0.5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1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32</v>
      </c>
      <c r="D35" s="141">
        <f t="shared" ref="D35:I35" si="18">SUM(D5:D13,D16:D26,D29:D33)</f>
        <v>16</v>
      </c>
      <c r="E35" s="141">
        <f t="shared" si="18"/>
        <v>17</v>
      </c>
      <c r="F35" s="141">
        <f t="shared" si="18"/>
        <v>17</v>
      </c>
      <c r="G35" s="141">
        <f t="shared" si="18"/>
        <v>0</v>
      </c>
      <c r="H35" s="141">
        <f t="shared" si="18"/>
        <v>12</v>
      </c>
      <c r="I35" s="141">
        <f t="shared" si="18"/>
        <v>17</v>
      </c>
      <c r="K35" s="28">
        <f>SUM(K5:K33)</f>
        <v>23.25</v>
      </c>
      <c r="L35" s="28">
        <f t="shared" ref="L35:Q35" si="19">SUM(L5:L33)</f>
        <v>12</v>
      </c>
      <c r="M35" s="28">
        <f t="shared" si="19"/>
        <v>12.75</v>
      </c>
      <c r="N35" s="28">
        <f t="shared" si="19"/>
        <v>13.25</v>
      </c>
      <c r="O35" s="28">
        <f t="shared" si="19"/>
        <v>0</v>
      </c>
      <c r="P35" s="28">
        <f t="shared" si="19"/>
        <v>9</v>
      </c>
      <c r="Q35" s="28">
        <f t="shared" si="19"/>
        <v>12.75</v>
      </c>
    </row>
  </sheetData>
  <sheetProtection algorithmName="SHA-512" hashValue="kXTR8Smq7fFuEMQsj55uqm6HUyDF9LFGU6RY8vCuW0sbeeLBzVc/APLanY3moHkGTSU2DLeNdROKv17Iz/7nYA==" saltValue="4vqvfBJPqHA8NCJaVsgO7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65C6-2515-4562-8281-7B1E7B02DDE1}">
  <sheetPr codeName="Sheet12"/>
  <dimension ref="A1:AE35"/>
  <sheetViews>
    <sheetView workbookViewId="0">
      <selection activeCell="D7" sqref="D7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1</v>
      </c>
      <c r="F3" s="106">
        <v>2</v>
      </c>
      <c r="G3" s="106"/>
      <c r="H3" s="106">
        <v>2</v>
      </c>
      <c r="I3" s="107">
        <v>1</v>
      </c>
      <c r="J3" s="101"/>
      <c r="K3" s="160">
        <f t="shared" ref="K3:Q3" si="0">K35/C3</f>
        <v>5.0625</v>
      </c>
      <c r="L3" s="160">
        <f t="shared" si="0"/>
        <v>6</v>
      </c>
      <c r="M3" s="160">
        <f t="shared" si="0"/>
        <v>6.75</v>
      </c>
      <c r="N3" s="160">
        <f t="shared" si="0"/>
        <v>7.5</v>
      </c>
      <c r="O3" s="160" t="e">
        <f t="shared" si="0"/>
        <v>#DIV/0!</v>
      </c>
      <c r="P3" s="160">
        <f t="shared" si="0"/>
        <v>6.875</v>
      </c>
      <c r="Q3" s="160">
        <f t="shared" si="0"/>
        <v>7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1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8">
        <v>9</v>
      </c>
      <c r="D5" s="148"/>
      <c r="E5" s="148">
        <v>1</v>
      </c>
      <c r="F5" s="148">
        <v>13</v>
      </c>
      <c r="G5" s="148"/>
      <c r="H5" s="148">
        <v>9</v>
      </c>
      <c r="I5" s="149">
        <v>6</v>
      </c>
      <c r="K5" s="163">
        <f>C5*0.75</f>
        <v>6.75</v>
      </c>
      <c r="L5" s="163">
        <f t="shared" ref="L5:Q7" si="1">D5*0.75</f>
        <v>0</v>
      </c>
      <c r="M5" s="163">
        <f t="shared" si="1"/>
        <v>0.75</v>
      </c>
      <c r="N5" s="163">
        <f t="shared" si="1"/>
        <v>9.75</v>
      </c>
      <c r="O5" s="163">
        <f t="shared" si="1"/>
        <v>0</v>
      </c>
      <c r="P5" s="163">
        <f t="shared" si="1"/>
        <v>6.75</v>
      </c>
      <c r="Q5" s="163">
        <f t="shared" si="1"/>
        <v>4.5</v>
      </c>
    </row>
    <row r="6" spans="1:31" ht="15.75" customHeight="1" x14ac:dyDescent="0.25">
      <c r="A6" s="117">
        <v>2</v>
      </c>
      <c r="B6" s="118" t="s">
        <v>5</v>
      </c>
      <c r="C6" s="121"/>
      <c r="D6" s="121"/>
      <c r="E6" s="121"/>
      <c r="F6" s="121"/>
      <c r="G6" s="121"/>
      <c r="H6" s="121"/>
      <c r="I6" s="150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21">
        <v>2</v>
      </c>
      <c r="D7" s="121"/>
      <c r="E7" s="121"/>
      <c r="F7" s="121"/>
      <c r="G7" s="121"/>
      <c r="H7" s="121"/>
      <c r="I7" s="150"/>
      <c r="K7" s="164">
        <f t="shared" si="2"/>
        <v>1.5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21"/>
      <c r="D8" s="121"/>
      <c r="E8" s="121"/>
      <c r="F8" s="121"/>
      <c r="G8" s="121"/>
      <c r="H8" s="121"/>
      <c r="I8" s="150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21"/>
      <c r="D9" s="121"/>
      <c r="E9" s="121"/>
      <c r="F9" s="121">
        <v>1</v>
      </c>
      <c r="G9" s="121"/>
      <c r="H9" s="121"/>
      <c r="I9" s="150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0.75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21"/>
      <c r="D10" s="121"/>
      <c r="E10" s="121"/>
      <c r="F10" s="121"/>
      <c r="G10" s="121"/>
      <c r="H10" s="121"/>
      <c r="I10" s="150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21"/>
      <c r="D11" s="121"/>
      <c r="E11" s="121"/>
      <c r="F11" s="121"/>
      <c r="G11" s="121"/>
      <c r="H11" s="121"/>
      <c r="I11" s="150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21"/>
      <c r="D12" s="121"/>
      <c r="E12" s="121"/>
      <c r="F12" s="121"/>
      <c r="G12" s="121"/>
      <c r="H12" s="121"/>
      <c r="I12" s="150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26"/>
      <c r="D13" s="126"/>
      <c r="E13" s="126"/>
      <c r="F13" s="126"/>
      <c r="G13" s="126"/>
      <c r="H13" s="126"/>
      <c r="I13" s="151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52"/>
      <c r="D14" s="100"/>
      <c r="E14" s="152"/>
      <c r="F14" s="100"/>
      <c r="G14" s="152"/>
      <c r="H14" s="152"/>
      <c r="I14" s="100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53"/>
      <c r="D15" s="153"/>
      <c r="E15" s="153"/>
      <c r="F15" s="153"/>
      <c r="G15" s="153"/>
      <c r="H15" s="153"/>
      <c r="I15" s="154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8">
        <v>16</v>
      </c>
      <c r="D16" s="148">
        <v>15</v>
      </c>
      <c r="E16" s="148">
        <v>8</v>
      </c>
      <c r="F16" s="148">
        <v>5</v>
      </c>
      <c r="G16" s="148"/>
      <c r="H16" s="148">
        <v>8</v>
      </c>
      <c r="I16" s="149">
        <v>2</v>
      </c>
      <c r="K16" s="163">
        <f>C16*0.75</f>
        <v>12</v>
      </c>
      <c r="L16" s="163">
        <f t="shared" ref="L16:Q17" si="8">D16*0.75</f>
        <v>11.25</v>
      </c>
      <c r="M16" s="163">
        <f t="shared" si="8"/>
        <v>6</v>
      </c>
      <c r="N16" s="163">
        <f t="shared" si="8"/>
        <v>3.75</v>
      </c>
      <c r="O16" s="163">
        <f t="shared" si="8"/>
        <v>0</v>
      </c>
      <c r="P16" s="163">
        <f t="shared" si="8"/>
        <v>6</v>
      </c>
      <c r="Q16" s="163">
        <f t="shared" si="8"/>
        <v>1.5</v>
      </c>
    </row>
    <row r="17" spans="1:17" ht="15.75" customHeight="1" x14ac:dyDescent="0.25">
      <c r="A17" s="117">
        <v>2</v>
      </c>
      <c r="B17" s="118" t="s">
        <v>15</v>
      </c>
      <c r="C17" s="121"/>
      <c r="D17" s="121"/>
      <c r="E17" s="121"/>
      <c r="F17" s="121"/>
      <c r="G17" s="121"/>
      <c r="H17" s="121"/>
      <c r="I17" s="150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21"/>
      <c r="D18" s="121"/>
      <c r="E18" s="121"/>
      <c r="F18" s="121"/>
      <c r="G18" s="121"/>
      <c r="H18" s="121"/>
      <c r="I18" s="150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21"/>
      <c r="D19" s="121">
        <v>1</v>
      </c>
      <c r="E19" s="121"/>
      <c r="F19" s="121">
        <v>1</v>
      </c>
      <c r="G19" s="121"/>
      <c r="H19" s="121"/>
      <c r="I19" s="150"/>
      <c r="K19" s="164">
        <f>C19*0.75</f>
        <v>0</v>
      </c>
      <c r="L19" s="164">
        <f t="shared" ref="L19:Q19" si="10">D19*0.75</f>
        <v>0.75</v>
      </c>
      <c r="M19" s="164">
        <f t="shared" si="10"/>
        <v>0</v>
      </c>
      <c r="N19" s="164">
        <f t="shared" si="10"/>
        <v>0.75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21"/>
      <c r="D20" s="121"/>
      <c r="E20" s="121"/>
      <c r="F20" s="121"/>
      <c r="G20" s="121"/>
      <c r="H20" s="121"/>
      <c r="I20" s="150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21"/>
      <c r="D21" s="121"/>
      <c r="E21" s="121"/>
      <c r="F21" s="121"/>
      <c r="G21" s="121"/>
      <c r="H21" s="121"/>
      <c r="I21" s="150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21"/>
      <c r="D22" s="121"/>
      <c r="E22" s="121"/>
      <c r="F22" s="121"/>
      <c r="G22" s="121"/>
      <c r="H22" s="121"/>
      <c r="I22" s="150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21"/>
      <c r="D23" s="121"/>
      <c r="E23" s="121"/>
      <c r="F23" s="121"/>
      <c r="G23" s="121"/>
      <c r="H23" s="121"/>
      <c r="I23" s="150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21"/>
      <c r="D24" s="121"/>
      <c r="E24" s="121"/>
      <c r="F24" s="121"/>
      <c r="G24" s="121"/>
      <c r="H24" s="121"/>
      <c r="I24" s="150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21"/>
      <c r="D25" s="121"/>
      <c r="E25" s="121"/>
      <c r="F25" s="121"/>
      <c r="G25" s="121"/>
      <c r="H25" s="121"/>
      <c r="I25" s="150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26"/>
      <c r="D26" s="126"/>
      <c r="E26" s="126"/>
      <c r="F26" s="126"/>
      <c r="G26" s="126"/>
      <c r="H26" s="126"/>
      <c r="I26" s="151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C27" s="100"/>
      <c r="D27" s="152"/>
      <c r="E27" s="152"/>
      <c r="F27" s="100"/>
      <c r="G27" s="152"/>
      <c r="H27" s="152"/>
      <c r="I27" s="100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53"/>
      <c r="D28" s="153"/>
      <c r="E28" s="153"/>
      <c r="F28" s="153"/>
      <c r="G28" s="153"/>
      <c r="H28" s="153"/>
      <c r="I28" s="154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8"/>
      <c r="D29" s="148"/>
      <c r="E29" s="148"/>
      <c r="F29" s="148"/>
      <c r="G29" s="148"/>
      <c r="H29" s="148"/>
      <c r="I29" s="149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21"/>
      <c r="D30" s="121"/>
      <c r="E30" s="121"/>
      <c r="F30" s="121"/>
      <c r="G30" s="121"/>
      <c r="H30" s="121"/>
      <c r="I30" s="150">
        <v>1</v>
      </c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1</v>
      </c>
    </row>
    <row r="31" spans="1:17" ht="15.75" customHeight="1" x14ac:dyDescent="0.25">
      <c r="A31" s="117">
        <v>3</v>
      </c>
      <c r="B31" s="138" t="s">
        <v>27</v>
      </c>
      <c r="C31" s="121"/>
      <c r="D31" s="121"/>
      <c r="E31" s="121"/>
      <c r="F31" s="121"/>
      <c r="G31" s="121"/>
      <c r="H31" s="121"/>
      <c r="I31" s="150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21"/>
      <c r="D32" s="121"/>
      <c r="E32" s="121"/>
      <c r="F32" s="121"/>
      <c r="G32" s="121"/>
      <c r="H32" s="121">
        <v>1</v>
      </c>
      <c r="I32" s="150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1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26"/>
      <c r="D33" s="126"/>
      <c r="E33" s="126"/>
      <c r="F33" s="126"/>
      <c r="G33" s="126"/>
      <c r="H33" s="126"/>
      <c r="I33" s="151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27</v>
      </c>
      <c r="D35" s="141">
        <f t="shared" ref="D35:I35" si="18">SUM(D5:D13,D16:D26,D29:D33)</f>
        <v>16</v>
      </c>
      <c r="E35" s="141">
        <f t="shared" si="18"/>
        <v>9</v>
      </c>
      <c r="F35" s="141">
        <f t="shared" si="18"/>
        <v>20</v>
      </c>
      <c r="G35" s="141">
        <f t="shared" si="18"/>
        <v>0</v>
      </c>
      <c r="H35" s="141">
        <f t="shared" si="18"/>
        <v>18</v>
      </c>
      <c r="I35" s="141">
        <f t="shared" si="18"/>
        <v>9</v>
      </c>
      <c r="K35" s="28">
        <f>SUM(K5:K33)</f>
        <v>20.25</v>
      </c>
      <c r="L35" s="28">
        <f t="shared" ref="L35:Q35" si="19">SUM(L5:L33)</f>
        <v>12</v>
      </c>
      <c r="M35" s="28">
        <f t="shared" si="19"/>
        <v>6.75</v>
      </c>
      <c r="N35" s="28">
        <f t="shared" si="19"/>
        <v>15</v>
      </c>
      <c r="O35" s="28">
        <f t="shared" si="19"/>
        <v>0</v>
      </c>
      <c r="P35" s="28">
        <f t="shared" si="19"/>
        <v>13.75</v>
      </c>
      <c r="Q35" s="28">
        <f t="shared" si="19"/>
        <v>7</v>
      </c>
    </row>
  </sheetData>
  <sheetProtection algorithmName="SHA-512" hashValue="7wT/BZEF0QDxX5HhGYt7Mk4R1SNvHBI0ZxPmaffKxrs8eejhVjk7407czKj4r72hVV1UIITkGRlqQ3CYBsU0rQ==" saltValue="Q7JG/CzweoIkvlS769D+e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4A00-EE9D-4E48-9E99-3284E7BE5838}">
  <sheetPr codeName="Sheet13"/>
  <dimension ref="A1:AE35"/>
  <sheetViews>
    <sheetView topLeftCell="A16" workbookViewId="0">
      <selection activeCell="I26" sqref="I26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2</v>
      </c>
      <c r="J3" s="101"/>
      <c r="K3" s="160">
        <f t="shared" ref="K3:Q3" si="0">K35/C3</f>
        <v>6</v>
      </c>
      <c r="L3" s="160">
        <f t="shared" si="0"/>
        <v>6</v>
      </c>
      <c r="M3" s="160">
        <f t="shared" si="0"/>
        <v>6.5</v>
      </c>
      <c r="N3" s="160">
        <f t="shared" si="0"/>
        <v>5.5</v>
      </c>
      <c r="O3" s="160" t="e">
        <f t="shared" si="0"/>
        <v>#DIV/0!</v>
      </c>
      <c r="P3" s="160">
        <f t="shared" si="0"/>
        <v>6.125</v>
      </c>
      <c r="Q3" s="160">
        <f t="shared" si="0"/>
        <v>5.75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16</v>
      </c>
      <c r="D5" s="142"/>
      <c r="E5" s="142">
        <v>3</v>
      </c>
      <c r="F5" s="142">
        <v>7</v>
      </c>
      <c r="G5" s="142"/>
      <c r="H5" s="142">
        <v>9</v>
      </c>
      <c r="I5" s="143">
        <v>2</v>
      </c>
      <c r="K5" s="163">
        <f>C5*0.75</f>
        <v>12</v>
      </c>
      <c r="L5" s="163">
        <f t="shared" ref="L5:Q7" si="1">D5*0.75</f>
        <v>0</v>
      </c>
      <c r="M5" s="163">
        <f t="shared" si="1"/>
        <v>2.25</v>
      </c>
      <c r="N5" s="163">
        <f t="shared" si="1"/>
        <v>5.25</v>
      </c>
      <c r="O5" s="163">
        <f t="shared" si="1"/>
        <v>0</v>
      </c>
      <c r="P5" s="163">
        <f t="shared" si="1"/>
        <v>6.75</v>
      </c>
      <c r="Q5" s="163">
        <f t="shared" si="1"/>
        <v>1.5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16</v>
      </c>
      <c r="D16" s="142">
        <v>15</v>
      </c>
      <c r="E16" s="142">
        <v>12</v>
      </c>
      <c r="F16" s="142">
        <v>7</v>
      </c>
      <c r="G16" s="142"/>
      <c r="H16" s="142">
        <v>6</v>
      </c>
      <c r="I16" s="143">
        <v>8</v>
      </c>
      <c r="K16" s="163">
        <f>C16*0.75</f>
        <v>12</v>
      </c>
      <c r="L16" s="163">
        <f t="shared" ref="L16:Q17" si="8">D16*0.75</f>
        <v>11.25</v>
      </c>
      <c r="M16" s="163">
        <f t="shared" si="8"/>
        <v>9</v>
      </c>
      <c r="N16" s="163">
        <f t="shared" si="8"/>
        <v>5.25</v>
      </c>
      <c r="O16" s="163">
        <f t="shared" si="8"/>
        <v>0</v>
      </c>
      <c r="P16" s="163">
        <f t="shared" si="8"/>
        <v>4.5</v>
      </c>
      <c r="Q16" s="163">
        <f t="shared" si="8"/>
        <v>6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>
        <v>3</v>
      </c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3</v>
      </c>
    </row>
    <row r="19" spans="1:17" ht="15.75" customHeight="1" x14ac:dyDescent="0.25">
      <c r="A19" s="117">
        <v>4</v>
      </c>
      <c r="B19" s="118" t="s">
        <v>17</v>
      </c>
      <c r="C19" s="144"/>
      <c r="D19" s="144">
        <v>1</v>
      </c>
      <c r="E19" s="144">
        <v>1</v>
      </c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0.75</v>
      </c>
      <c r="M19" s="164">
        <f t="shared" si="10"/>
        <v>0.75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>
        <v>1</v>
      </c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1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>
        <v>1</v>
      </c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1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/>
      <c r="F33" s="146">
        <v>1</v>
      </c>
      <c r="G33" s="146"/>
      <c r="H33" s="146">
        <v>2</v>
      </c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0.5</v>
      </c>
      <c r="O33" s="165">
        <f t="shared" si="17"/>
        <v>0</v>
      </c>
      <c r="P33" s="165">
        <f t="shared" si="17"/>
        <v>1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32</v>
      </c>
      <c r="D35" s="141">
        <f t="shared" ref="D35:I35" si="18">SUM(D5:D13,D16:D26,D29:D33)</f>
        <v>16</v>
      </c>
      <c r="E35" s="141">
        <f t="shared" si="18"/>
        <v>17</v>
      </c>
      <c r="F35" s="141">
        <f t="shared" si="18"/>
        <v>15</v>
      </c>
      <c r="G35" s="141">
        <f t="shared" si="18"/>
        <v>0</v>
      </c>
      <c r="H35" s="141">
        <f t="shared" si="18"/>
        <v>17</v>
      </c>
      <c r="I35" s="141">
        <f t="shared" si="18"/>
        <v>14</v>
      </c>
      <c r="K35" s="28">
        <f>SUM(K5:K33)</f>
        <v>24</v>
      </c>
      <c r="L35" s="28">
        <f t="shared" ref="L35:Q35" si="19">SUM(L5:L33)</f>
        <v>12</v>
      </c>
      <c r="M35" s="28">
        <f t="shared" si="19"/>
        <v>13</v>
      </c>
      <c r="N35" s="28">
        <f t="shared" si="19"/>
        <v>11</v>
      </c>
      <c r="O35" s="28">
        <f t="shared" si="19"/>
        <v>0</v>
      </c>
      <c r="P35" s="28">
        <f t="shared" si="19"/>
        <v>12.25</v>
      </c>
      <c r="Q35" s="28">
        <f t="shared" si="19"/>
        <v>11.5</v>
      </c>
    </row>
  </sheetData>
  <sheetProtection algorithmName="SHA-512" hashValue="v7sCtpoLM5j/cA9nrqbcmw6+cwtrhyam57AqUigaYz7kMEuyQQMASFAVQmCs26/HqE+8+lEObg0vhoflWuskCw==" saltValue="V65qiPRWhVADLKxcplAbc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E4AE-980A-4C14-89FF-805F9408A858}">
  <sheetPr codeName="Sheet14"/>
  <dimension ref="A1:AE35"/>
  <sheetViews>
    <sheetView topLeftCell="A15" workbookViewId="0">
      <selection activeCell="I30" sqref="I30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/>
      <c r="D3" s="106"/>
      <c r="E3" s="106"/>
      <c r="F3" s="106">
        <v>1</v>
      </c>
      <c r="G3" s="106"/>
      <c r="H3" s="106"/>
      <c r="I3" s="107">
        <v>2</v>
      </c>
      <c r="J3" s="101"/>
      <c r="K3" s="160" t="e">
        <f t="shared" ref="K3:Q3" si="0">K35/C3</f>
        <v>#DIV/0!</v>
      </c>
      <c r="L3" s="160" t="e">
        <f t="shared" si="0"/>
        <v>#DIV/0!</v>
      </c>
      <c r="M3" s="160" t="e">
        <f t="shared" si="0"/>
        <v>#DIV/0!</v>
      </c>
      <c r="N3" s="160">
        <f t="shared" si="0"/>
        <v>12</v>
      </c>
      <c r="O3" s="160" t="e">
        <f t="shared" si="0"/>
        <v>#DIV/0!</v>
      </c>
      <c r="P3" s="160" t="e">
        <f t="shared" si="0"/>
        <v>#DIV/0!</v>
      </c>
      <c r="Q3" s="160">
        <f t="shared" si="0"/>
        <v>12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/>
      <c r="D5" s="142"/>
      <c r="E5" s="142"/>
      <c r="F5" s="142"/>
      <c r="G5" s="142"/>
      <c r="H5" s="142"/>
      <c r="I5" s="143"/>
      <c r="K5" s="163">
        <f>C5*0.75</f>
        <v>0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/>
      <c r="E16" s="142"/>
      <c r="F16" s="142"/>
      <c r="G16" s="142"/>
      <c r="H16" s="142"/>
      <c r="I16" s="143"/>
      <c r="K16" s="163">
        <f>C16*0.75</f>
        <v>0</v>
      </c>
      <c r="L16" s="163">
        <f t="shared" ref="L16:Q17" si="8">D16*0.75</f>
        <v>0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0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>
        <v>12</v>
      </c>
      <c r="G31" s="144"/>
      <c r="H31" s="144"/>
      <c r="I31" s="145">
        <v>24</v>
      </c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12</v>
      </c>
      <c r="O31" s="164">
        <f t="shared" si="16"/>
        <v>0</v>
      </c>
      <c r="P31" s="164">
        <f t="shared" si="16"/>
        <v>0</v>
      </c>
      <c r="Q31" s="164">
        <f t="shared" si="16"/>
        <v>24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/>
      <c r="F33" s="146"/>
      <c r="G33" s="146"/>
      <c r="H33" s="146"/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0</v>
      </c>
      <c r="D35" s="141">
        <f t="shared" ref="D35:I35" si="18">SUM(D5:D13,D16:D26,D29:D33)</f>
        <v>0</v>
      </c>
      <c r="E35" s="141">
        <f t="shared" si="18"/>
        <v>0</v>
      </c>
      <c r="F35" s="141">
        <f t="shared" si="18"/>
        <v>12</v>
      </c>
      <c r="G35" s="141">
        <f t="shared" si="18"/>
        <v>0</v>
      </c>
      <c r="H35" s="141">
        <f t="shared" si="18"/>
        <v>0</v>
      </c>
      <c r="I35" s="141">
        <f t="shared" si="18"/>
        <v>24</v>
      </c>
      <c r="K35" s="28">
        <f>SUM(K5:K33)</f>
        <v>0</v>
      </c>
      <c r="L35" s="28">
        <f t="shared" ref="L35:Q35" si="19">SUM(L5:L33)</f>
        <v>0</v>
      </c>
      <c r="M35" s="28">
        <f t="shared" si="19"/>
        <v>0</v>
      </c>
      <c r="N35" s="28">
        <f t="shared" si="19"/>
        <v>12</v>
      </c>
      <c r="O35" s="28">
        <f t="shared" si="19"/>
        <v>0</v>
      </c>
      <c r="P35" s="28">
        <f t="shared" si="19"/>
        <v>0</v>
      </c>
      <c r="Q35" s="28">
        <f t="shared" si="19"/>
        <v>24</v>
      </c>
    </row>
  </sheetData>
  <sheetProtection algorithmName="SHA-512" hashValue="XlZSoBEOwxoWGUyLiBhGbknM/hIyMxnRCOMc1B9z9TtZ2D/MjESAIUTPDkNZdIjgGYqfA4/Uzifvsx0AuMYeug==" saltValue="02I7hZtNIwXeKE+peyvtT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E123-62BB-4B58-A2A4-14EE4EDD5E85}">
  <sheetPr codeName="Sheet15"/>
  <dimension ref="A1:AE35"/>
  <sheetViews>
    <sheetView workbookViewId="0">
      <selection activeCell="C15" sqref="C15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6.0625</v>
      </c>
      <c r="L3" s="160">
        <f t="shared" si="0"/>
        <v>5.625</v>
      </c>
      <c r="M3" s="160">
        <f t="shared" si="0"/>
        <v>6.125</v>
      </c>
      <c r="N3" s="160">
        <f t="shared" si="0"/>
        <v>7.5</v>
      </c>
      <c r="O3" s="160" t="e">
        <f t="shared" si="0"/>
        <v>#DIV/0!</v>
      </c>
      <c r="P3" s="160">
        <f t="shared" si="0"/>
        <v>6.25</v>
      </c>
      <c r="Q3" s="160">
        <f t="shared" si="0"/>
        <v>7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15</v>
      </c>
      <c r="D5" s="142">
        <v>2</v>
      </c>
      <c r="E5" s="142">
        <v>3</v>
      </c>
      <c r="F5" s="142"/>
      <c r="G5" s="142"/>
      <c r="H5" s="142">
        <v>10</v>
      </c>
      <c r="I5" s="143"/>
      <c r="K5" s="163">
        <f>C5*0.75</f>
        <v>11.25</v>
      </c>
      <c r="L5" s="163">
        <f t="shared" ref="L5:Q7" si="1">D5*0.75</f>
        <v>1.5</v>
      </c>
      <c r="M5" s="163">
        <f t="shared" si="1"/>
        <v>2.25</v>
      </c>
      <c r="N5" s="163">
        <f t="shared" si="1"/>
        <v>0</v>
      </c>
      <c r="O5" s="163">
        <f t="shared" si="1"/>
        <v>0</v>
      </c>
      <c r="P5" s="163">
        <f t="shared" si="1"/>
        <v>7.5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>
        <v>1</v>
      </c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0.75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12</v>
      </c>
      <c r="D16" s="142">
        <v>9</v>
      </c>
      <c r="E16" s="142">
        <v>12</v>
      </c>
      <c r="F16" s="142">
        <v>10</v>
      </c>
      <c r="G16" s="142"/>
      <c r="H16" s="142">
        <v>4</v>
      </c>
      <c r="I16" s="143">
        <v>8</v>
      </c>
      <c r="K16" s="163">
        <f>C16*0.75</f>
        <v>9</v>
      </c>
      <c r="L16" s="163">
        <f t="shared" ref="L16:Q17" si="8">D16*0.75</f>
        <v>6.75</v>
      </c>
      <c r="M16" s="163">
        <f t="shared" si="8"/>
        <v>9</v>
      </c>
      <c r="N16" s="163">
        <f t="shared" si="8"/>
        <v>7.5</v>
      </c>
      <c r="O16" s="163">
        <f t="shared" si="8"/>
        <v>0</v>
      </c>
      <c r="P16" s="163">
        <f t="shared" si="8"/>
        <v>3</v>
      </c>
      <c r="Q16" s="163">
        <f t="shared" si="8"/>
        <v>6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>
        <v>1</v>
      </c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0.75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>
        <v>1</v>
      </c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1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>
        <v>1</v>
      </c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1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>
        <v>1</v>
      </c>
      <c r="E26" s="146"/>
      <c r="F26" s="146"/>
      <c r="G26" s="146"/>
      <c r="H26" s="146"/>
      <c r="I26" s="147"/>
      <c r="K26" s="165">
        <f>C26/2</f>
        <v>0</v>
      </c>
      <c r="L26" s="165">
        <f t="shared" ref="L26:Q26" si="14">D26/2</f>
        <v>0.5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>
        <v>4</v>
      </c>
      <c r="D31" s="144"/>
      <c r="E31" s="144"/>
      <c r="F31" s="144"/>
      <c r="G31" s="144"/>
      <c r="H31" s="144"/>
      <c r="I31" s="145"/>
      <c r="K31" s="164">
        <f>C31</f>
        <v>4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>
        <v>2</v>
      </c>
      <c r="F33" s="146"/>
      <c r="G33" s="146"/>
      <c r="H33" s="146">
        <v>4</v>
      </c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1</v>
      </c>
      <c r="N33" s="165">
        <f t="shared" si="17"/>
        <v>0</v>
      </c>
      <c r="O33" s="165">
        <f t="shared" si="17"/>
        <v>0</v>
      </c>
      <c r="P33" s="165">
        <f t="shared" si="17"/>
        <v>2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31</v>
      </c>
      <c r="D35" s="141">
        <f t="shared" ref="D35:I35" si="18">SUM(D5:D13,D16:D26,D29:D33)</f>
        <v>15</v>
      </c>
      <c r="E35" s="141">
        <f t="shared" si="18"/>
        <v>17</v>
      </c>
      <c r="F35" s="141">
        <f t="shared" si="18"/>
        <v>10</v>
      </c>
      <c r="G35" s="141">
        <f t="shared" si="18"/>
        <v>0</v>
      </c>
      <c r="H35" s="141">
        <f t="shared" si="18"/>
        <v>18</v>
      </c>
      <c r="I35" s="141">
        <f t="shared" si="18"/>
        <v>9</v>
      </c>
      <c r="K35" s="28">
        <f>SUM(K5:K33)</f>
        <v>24.25</v>
      </c>
      <c r="L35" s="28">
        <f t="shared" ref="L35:Q35" si="19">SUM(L5:L33)</f>
        <v>11.25</v>
      </c>
      <c r="M35" s="28">
        <f t="shared" si="19"/>
        <v>12.25</v>
      </c>
      <c r="N35" s="28">
        <f t="shared" si="19"/>
        <v>7.5</v>
      </c>
      <c r="O35" s="28">
        <f t="shared" si="19"/>
        <v>0</v>
      </c>
      <c r="P35" s="28">
        <f t="shared" si="19"/>
        <v>12.5</v>
      </c>
      <c r="Q35" s="28">
        <f t="shared" si="19"/>
        <v>7</v>
      </c>
    </row>
  </sheetData>
  <sheetProtection algorithmName="SHA-512" hashValue="kOQD9u1+EEXNCYhksISkuCAP2G5usRgY1kjbxjQ5nxwCF9Cbuj6HwzvlH7AvkqhcecZ1MAUPsrhCAXx5DjJzIw==" saltValue="fWT3yVY/thefWeyf9Jdys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7AE9-8CB2-47FC-8E15-C4803C78425D}">
  <sheetPr codeName="Sheet17"/>
  <dimension ref="A1:AE35"/>
  <sheetViews>
    <sheetView workbookViewId="0">
      <selection activeCell="G9" sqref="G9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4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5.625</v>
      </c>
      <c r="L3" s="160">
        <f t="shared" si="0"/>
        <v>6</v>
      </c>
      <c r="M3" s="160">
        <f t="shared" si="0"/>
        <v>5.291666666666667</v>
      </c>
      <c r="N3" s="160">
        <f t="shared" si="0"/>
        <v>8.25</v>
      </c>
      <c r="O3" s="160" t="e">
        <f t="shared" si="0"/>
        <v>#DIV/0!</v>
      </c>
      <c r="P3" s="160">
        <f t="shared" si="0"/>
        <v>7.75</v>
      </c>
      <c r="Q3" s="160">
        <f t="shared" si="0"/>
        <v>6.75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14</v>
      </c>
      <c r="D5" s="142"/>
      <c r="E5" s="142">
        <v>2</v>
      </c>
      <c r="F5" s="142">
        <v>1</v>
      </c>
      <c r="G5" s="142"/>
      <c r="H5" s="142">
        <v>14</v>
      </c>
      <c r="I5" s="143"/>
      <c r="K5" s="163">
        <f>C5*0.75</f>
        <v>10.5</v>
      </c>
      <c r="L5" s="163">
        <f t="shared" ref="L5:Q7" si="1">D5*0.75</f>
        <v>0</v>
      </c>
      <c r="M5" s="163">
        <f t="shared" si="1"/>
        <v>1.5</v>
      </c>
      <c r="N5" s="163">
        <f>F5*0.75</f>
        <v>0.75</v>
      </c>
      <c r="O5" s="163">
        <f t="shared" si="1"/>
        <v>0</v>
      </c>
      <c r="P5" s="163">
        <f t="shared" si="1"/>
        <v>10.5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>F6*0.75</f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14</v>
      </c>
      <c r="D16" s="142">
        <v>16</v>
      </c>
      <c r="E16" s="142">
        <v>11</v>
      </c>
      <c r="F16" s="142">
        <v>10</v>
      </c>
      <c r="G16" s="142"/>
      <c r="H16" s="142">
        <v>6</v>
      </c>
      <c r="I16" s="143">
        <v>9</v>
      </c>
      <c r="K16" s="163">
        <f>C16*0.75</f>
        <v>10.5</v>
      </c>
      <c r="L16" s="163">
        <f t="shared" ref="L16:Q17" si="8">D16*0.75</f>
        <v>12</v>
      </c>
      <c r="M16" s="163">
        <f t="shared" si="8"/>
        <v>8.25</v>
      </c>
      <c r="N16" s="163">
        <f t="shared" si="8"/>
        <v>7.5</v>
      </c>
      <c r="O16" s="163">
        <f t="shared" si="8"/>
        <v>0</v>
      </c>
      <c r="P16" s="163">
        <f t="shared" si="8"/>
        <v>4.5</v>
      </c>
      <c r="Q16" s="163">
        <f t="shared" si="8"/>
        <v>6.75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>
        <v>1</v>
      </c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0.33333333333333331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>
        <v>1</v>
      </c>
      <c r="F26" s="146"/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>
        <v>1</v>
      </c>
      <c r="D29" s="142"/>
      <c r="E29" s="142"/>
      <c r="F29" s="142"/>
      <c r="G29" s="142"/>
      <c r="H29" s="142"/>
      <c r="I29" s="143"/>
      <c r="K29" s="163">
        <f>C29/2</f>
        <v>0.5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1</v>
      </c>
      <c r="D30" s="144"/>
      <c r="E30" s="144"/>
      <c r="F30" s="144"/>
      <c r="G30" s="144"/>
      <c r="H30" s="144"/>
      <c r="I30" s="145"/>
      <c r="K30" s="164">
        <f>C30</f>
        <v>1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/>
      <c r="F33" s="146"/>
      <c r="G33" s="146"/>
      <c r="H33" s="146">
        <v>1</v>
      </c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0.5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30</v>
      </c>
      <c r="D35" s="141">
        <f t="shared" ref="D35:I35" si="18">SUM(D5:D13,D16:D26,D29:D33)</f>
        <v>16</v>
      </c>
      <c r="E35" s="141">
        <f t="shared" si="18"/>
        <v>15</v>
      </c>
      <c r="F35" s="141">
        <f>SUM(F5:F13,F16:F26,F29:F33)</f>
        <v>11</v>
      </c>
      <c r="G35" s="141">
        <f t="shared" si="18"/>
        <v>0</v>
      </c>
      <c r="H35" s="141">
        <f t="shared" si="18"/>
        <v>21</v>
      </c>
      <c r="I35" s="141">
        <f t="shared" si="18"/>
        <v>9</v>
      </c>
      <c r="K35" s="28">
        <f>SUM(K5:K33)</f>
        <v>22.5</v>
      </c>
      <c r="L35" s="28">
        <f t="shared" ref="L35:Q35" si="19">SUM(L5:L33)</f>
        <v>12</v>
      </c>
      <c r="M35" s="28">
        <f t="shared" si="19"/>
        <v>10.583333333333334</v>
      </c>
      <c r="N35" s="28">
        <f t="shared" si="19"/>
        <v>8.25</v>
      </c>
      <c r="O35" s="28">
        <f t="shared" si="19"/>
        <v>0</v>
      </c>
      <c r="P35" s="28">
        <f t="shared" si="19"/>
        <v>15.5</v>
      </c>
      <c r="Q35" s="28">
        <f t="shared" si="19"/>
        <v>6.75</v>
      </c>
    </row>
  </sheetData>
  <sheetProtection algorithmName="SHA-512" hashValue="E5VU8nErJMm2/f1ynklUiv6A+hlOzGbwOkH8sBDnapTvexxAb5FhoLbw+wX6BcPDSm/W4DawpSW3XLOrfaK1uA==" saltValue="EYVcAfyE5HwGfLmoYBTzK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5BEC-0917-469F-968E-CE76C9877B4C}">
  <sheetPr codeName="Sheet18"/>
  <dimension ref="A1:AE35"/>
  <sheetViews>
    <sheetView topLeftCell="A15" workbookViewId="0">
      <selection activeCell="K19" sqref="K19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4.583333333333333</v>
      </c>
      <c r="L3" s="160">
        <f t="shared" si="0"/>
        <v>6</v>
      </c>
      <c r="M3" s="160">
        <f t="shared" si="0"/>
        <v>5.625</v>
      </c>
      <c r="N3" s="160">
        <f t="shared" si="0"/>
        <v>7</v>
      </c>
      <c r="O3" s="160" t="e">
        <f t="shared" si="0"/>
        <v>#DIV/0!</v>
      </c>
      <c r="P3" s="160">
        <f t="shared" si="0"/>
        <v>7.125</v>
      </c>
      <c r="Q3" s="160">
        <f t="shared" si="0"/>
        <v>6.75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11</v>
      </c>
      <c r="D5" s="142">
        <v>2</v>
      </c>
      <c r="E5" s="142">
        <v>3</v>
      </c>
      <c r="F5" s="142">
        <v>1</v>
      </c>
      <c r="G5" s="142"/>
      <c r="H5" s="142">
        <v>15</v>
      </c>
      <c r="I5" s="143"/>
      <c r="K5" s="163">
        <f>C5*0.75</f>
        <v>8.25</v>
      </c>
      <c r="L5" s="163">
        <f t="shared" ref="L5:Q7" si="1">D5*0.75</f>
        <v>1.5</v>
      </c>
      <c r="M5" s="163">
        <f t="shared" si="1"/>
        <v>2.25</v>
      </c>
      <c r="N5" s="163">
        <f t="shared" si="1"/>
        <v>0.75</v>
      </c>
      <c r="O5" s="163">
        <f t="shared" si="1"/>
        <v>0</v>
      </c>
      <c r="P5" s="163">
        <f t="shared" si="1"/>
        <v>11.25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>
        <v>1</v>
      </c>
      <c r="D9" s="144"/>
      <c r="E9" s="144"/>
      <c r="F9" s="144"/>
      <c r="G9" s="144"/>
      <c r="H9" s="144"/>
      <c r="I9" s="145"/>
      <c r="K9" s="164">
        <f>C9*0.75</f>
        <v>0.75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>
        <v>14</v>
      </c>
      <c r="E16" s="142">
        <v>10</v>
      </c>
      <c r="F16" s="142">
        <v>5</v>
      </c>
      <c r="G16" s="142"/>
      <c r="H16" s="142">
        <v>4</v>
      </c>
      <c r="I16" s="143">
        <v>9</v>
      </c>
      <c r="K16" s="163">
        <f>C16*0.75</f>
        <v>0</v>
      </c>
      <c r="L16" s="163">
        <f t="shared" ref="L16:Q17" si="8">D16*0.75</f>
        <v>10.5</v>
      </c>
      <c r="M16" s="163">
        <f t="shared" si="8"/>
        <v>7.5</v>
      </c>
      <c r="N16" s="163">
        <f t="shared" si="8"/>
        <v>3.75</v>
      </c>
      <c r="O16" s="163">
        <f t="shared" si="8"/>
        <v>0</v>
      </c>
      <c r="P16" s="163">
        <f t="shared" si="8"/>
        <v>3</v>
      </c>
      <c r="Q16" s="163">
        <f t="shared" si="8"/>
        <v>6.75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>
        <v>1</v>
      </c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1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/>
      <c r="E19" s="144"/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>
        <v>1</v>
      </c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1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>
        <v>1</v>
      </c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0.5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4</v>
      </c>
      <c r="D30" s="144"/>
      <c r="E30" s="144"/>
      <c r="F30" s="144"/>
      <c r="G30" s="144"/>
      <c r="H30" s="144"/>
      <c r="I30" s="145"/>
      <c r="K30" s="164">
        <f>C30</f>
        <v>4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>
        <v>1</v>
      </c>
      <c r="F33" s="146">
        <v>2</v>
      </c>
      <c r="G33" s="146"/>
      <c r="H33" s="146"/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0.5</v>
      </c>
      <c r="N33" s="165">
        <f t="shared" si="17"/>
        <v>1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17</v>
      </c>
      <c r="D35" s="141">
        <f t="shared" ref="D35:I35" si="18">SUM(D5:D13,D16:D26,D29:D33)</f>
        <v>16</v>
      </c>
      <c r="E35" s="141">
        <f t="shared" si="18"/>
        <v>15</v>
      </c>
      <c r="F35" s="141">
        <f t="shared" si="18"/>
        <v>10</v>
      </c>
      <c r="G35" s="141">
        <f t="shared" si="18"/>
        <v>0</v>
      </c>
      <c r="H35" s="141">
        <f t="shared" si="18"/>
        <v>19</v>
      </c>
      <c r="I35" s="141">
        <f t="shared" si="18"/>
        <v>9</v>
      </c>
      <c r="K35" s="28">
        <f>SUM(K5:K33)</f>
        <v>13.75</v>
      </c>
      <c r="L35" s="28">
        <f t="shared" ref="L35:Q35" si="19">SUM(L5:L33)</f>
        <v>12</v>
      </c>
      <c r="M35" s="28">
        <f t="shared" si="19"/>
        <v>11.25</v>
      </c>
      <c r="N35" s="28">
        <f t="shared" si="19"/>
        <v>7</v>
      </c>
      <c r="O35" s="28">
        <f t="shared" si="19"/>
        <v>0</v>
      </c>
      <c r="P35" s="28">
        <f t="shared" si="19"/>
        <v>14.25</v>
      </c>
      <c r="Q35" s="28">
        <f t="shared" si="19"/>
        <v>6.75</v>
      </c>
    </row>
  </sheetData>
  <sheetProtection algorithmName="SHA-512" hashValue="/NuxjtE1+Af15liPBWftv69dx7TEYDWx0MmgU7GccDJF+0349clHUXZ2S7Bi5vc8ACKFJCjiJs3RKo5N8R9jIA==" saltValue="ktUUUBMrpbj0t/iXPO4TF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8E98-A5CF-497E-8C5E-ABDA25569B0F}">
  <sheetPr codeName="Sheet19"/>
  <dimension ref="A1:AE35"/>
  <sheetViews>
    <sheetView topLeftCell="A24" workbookViewId="0">
      <selection activeCell="I17" sqref="I17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5.916666666666667</v>
      </c>
      <c r="L3" s="160">
        <f t="shared" si="0"/>
        <v>5.625</v>
      </c>
      <c r="M3" s="160">
        <f t="shared" si="0"/>
        <v>8.875</v>
      </c>
      <c r="N3" s="160">
        <f t="shared" si="0"/>
        <v>10.75</v>
      </c>
      <c r="O3" s="160" t="e">
        <f t="shared" si="0"/>
        <v>#DIV/0!</v>
      </c>
      <c r="P3" s="160">
        <f t="shared" si="0"/>
        <v>6.75</v>
      </c>
      <c r="Q3" s="160">
        <f t="shared" si="0"/>
        <v>6.75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16</v>
      </c>
      <c r="D5" s="142">
        <v>4</v>
      </c>
      <c r="E5" s="142">
        <v>2</v>
      </c>
      <c r="F5" s="142"/>
      <c r="G5" s="142"/>
      <c r="H5" s="142">
        <v>12</v>
      </c>
      <c r="I5" s="143"/>
      <c r="K5" s="163">
        <f>C5*0.75</f>
        <v>12</v>
      </c>
      <c r="L5" s="163">
        <f t="shared" ref="L5:Q7" si="1">D5*0.75</f>
        <v>3</v>
      </c>
      <c r="M5" s="163">
        <f t="shared" si="1"/>
        <v>1.5</v>
      </c>
      <c r="N5" s="163">
        <f t="shared" si="1"/>
        <v>0</v>
      </c>
      <c r="O5" s="163">
        <f t="shared" si="1"/>
        <v>0</v>
      </c>
      <c r="P5" s="163">
        <f t="shared" si="1"/>
        <v>9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>
        <v>2</v>
      </c>
      <c r="D11" s="144"/>
      <c r="E11" s="144"/>
      <c r="F11" s="144"/>
      <c r="G11" s="144"/>
      <c r="H11" s="144"/>
      <c r="I11" s="145"/>
      <c r="K11" s="164">
        <f>C11</f>
        <v>2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>
        <v>2</v>
      </c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>
        <v>11</v>
      </c>
      <c r="E16" s="142">
        <v>21</v>
      </c>
      <c r="F16" s="142">
        <v>13</v>
      </c>
      <c r="G16" s="142"/>
      <c r="H16" s="142">
        <v>6</v>
      </c>
      <c r="I16" s="143">
        <v>9</v>
      </c>
      <c r="K16" s="163">
        <f>C16*0.75</f>
        <v>0</v>
      </c>
      <c r="L16" s="163">
        <f t="shared" ref="L16:Q17" si="8">D16*0.75</f>
        <v>8.25</v>
      </c>
      <c r="M16" s="163">
        <f t="shared" si="8"/>
        <v>15.75</v>
      </c>
      <c r="N16" s="163">
        <f t="shared" si="8"/>
        <v>9.75</v>
      </c>
      <c r="O16" s="163">
        <f t="shared" si="8"/>
        <v>0</v>
      </c>
      <c r="P16" s="163">
        <f t="shared" si="8"/>
        <v>4.5</v>
      </c>
      <c r="Q16" s="163">
        <f t="shared" si="8"/>
        <v>6.75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/>
      <c r="E19" s="144"/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>
        <v>1</v>
      </c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1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>
        <v>3</v>
      </c>
      <c r="D31" s="144"/>
      <c r="E31" s="144"/>
      <c r="F31" s="144"/>
      <c r="G31" s="144"/>
      <c r="H31" s="144"/>
      <c r="I31" s="145"/>
      <c r="K31" s="164">
        <f>C31</f>
        <v>3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>
        <v>1</v>
      </c>
      <c r="F33" s="146"/>
      <c r="G33" s="146"/>
      <c r="H33" s="146"/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0.5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22</v>
      </c>
      <c r="D35" s="141">
        <f t="shared" ref="D35:I35" si="18">SUM(D5:D13,D16:D26,D29:D33)</f>
        <v>15</v>
      </c>
      <c r="E35" s="141">
        <f t="shared" si="18"/>
        <v>24</v>
      </c>
      <c r="F35" s="141">
        <f t="shared" si="18"/>
        <v>14</v>
      </c>
      <c r="G35" s="141">
        <f t="shared" si="18"/>
        <v>0</v>
      </c>
      <c r="H35" s="141">
        <f t="shared" si="18"/>
        <v>18</v>
      </c>
      <c r="I35" s="141">
        <f t="shared" si="18"/>
        <v>9</v>
      </c>
      <c r="K35" s="28">
        <f>SUM(K5:K33)</f>
        <v>17.75</v>
      </c>
      <c r="L35" s="28">
        <f t="shared" ref="L35:Q35" si="19">SUM(L5:L33)</f>
        <v>11.25</v>
      </c>
      <c r="M35" s="28">
        <f t="shared" si="19"/>
        <v>17.75</v>
      </c>
      <c r="N35" s="28">
        <f t="shared" si="19"/>
        <v>10.75</v>
      </c>
      <c r="O35" s="28">
        <f t="shared" si="19"/>
        <v>0</v>
      </c>
      <c r="P35" s="28">
        <f t="shared" si="19"/>
        <v>13.5</v>
      </c>
      <c r="Q35" s="28">
        <f t="shared" si="19"/>
        <v>6.75</v>
      </c>
    </row>
  </sheetData>
  <sheetProtection algorithmName="SHA-512" hashValue="cPWTv3rbcLj9XIiw6uZThxXB5jVf4LSrLSuRDPOrUd3pt2t0ehB7LVHA58dkDm4XtiE74VXPRJHRQeje2hKs/w==" saltValue="uPoSG9xJepGpD9o0hC1F2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8DEB-0DD6-4ACE-9670-F7F45E24CA2F}">
  <sheetPr codeName="Sheet20"/>
  <dimension ref="A1:AE35"/>
  <sheetViews>
    <sheetView workbookViewId="0">
      <selection activeCell="F14" sqref="F14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5.75</v>
      </c>
      <c r="L3" s="160">
        <f t="shared" si="0"/>
        <v>3</v>
      </c>
      <c r="M3" s="160">
        <f t="shared" si="0"/>
        <v>7.25</v>
      </c>
      <c r="N3" s="160">
        <f t="shared" si="0"/>
        <v>8.75</v>
      </c>
      <c r="O3" s="160" t="e">
        <f t="shared" si="0"/>
        <v>#DIV/0!</v>
      </c>
      <c r="P3" s="160">
        <f t="shared" si="0"/>
        <v>7.5</v>
      </c>
      <c r="Q3" s="160">
        <f t="shared" si="0"/>
        <v>5.75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11</v>
      </c>
      <c r="D5" s="142">
        <v>2</v>
      </c>
      <c r="E5" s="142">
        <v>6</v>
      </c>
      <c r="F5" s="142">
        <v>3</v>
      </c>
      <c r="G5" s="142"/>
      <c r="H5" s="142">
        <v>4</v>
      </c>
      <c r="I5" s="143">
        <v>3</v>
      </c>
      <c r="K5" s="163">
        <f>C5*0.75</f>
        <v>8.25</v>
      </c>
      <c r="L5" s="163">
        <f t="shared" ref="L5:Q7" si="1">D5*0.75</f>
        <v>1.5</v>
      </c>
      <c r="M5" s="163">
        <f t="shared" si="1"/>
        <v>4.5</v>
      </c>
      <c r="N5" s="163">
        <f t="shared" si="1"/>
        <v>2.25</v>
      </c>
      <c r="O5" s="163">
        <f t="shared" si="1"/>
        <v>0</v>
      </c>
      <c r="P5" s="163">
        <f t="shared" si="1"/>
        <v>3</v>
      </c>
      <c r="Q5" s="163">
        <f t="shared" si="1"/>
        <v>2.25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>
        <v>1</v>
      </c>
      <c r="D9" s="144">
        <v>4</v>
      </c>
      <c r="E9" s="144"/>
      <c r="F9" s="144">
        <v>2</v>
      </c>
      <c r="G9" s="144"/>
      <c r="H9" s="144"/>
      <c r="I9" s="145"/>
      <c r="K9" s="164">
        <f>C9*0.75</f>
        <v>0.75</v>
      </c>
      <c r="L9" s="164">
        <f t="shared" ref="L9:Q10" si="4">D9*0.75</f>
        <v>3</v>
      </c>
      <c r="M9" s="164">
        <f t="shared" si="4"/>
        <v>0</v>
      </c>
      <c r="N9" s="164">
        <f t="shared" si="4"/>
        <v>1.5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2</v>
      </c>
      <c r="D16" s="142">
        <v>1</v>
      </c>
      <c r="E16" s="142">
        <v>10</v>
      </c>
      <c r="F16" s="142">
        <v>5</v>
      </c>
      <c r="G16" s="142"/>
      <c r="H16" s="142">
        <v>11</v>
      </c>
      <c r="I16" s="143">
        <v>4</v>
      </c>
      <c r="K16" s="163">
        <f>C16*0.75</f>
        <v>1.5</v>
      </c>
      <c r="L16" s="163">
        <f t="shared" ref="L16:Q17" si="8">D16*0.75</f>
        <v>0.75</v>
      </c>
      <c r="M16" s="163">
        <f t="shared" si="8"/>
        <v>7.5</v>
      </c>
      <c r="N16" s="163">
        <f t="shared" si="8"/>
        <v>3.75</v>
      </c>
      <c r="O16" s="163">
        <f t="shared" si="8"/>
        <v>0</v>
      </c>
      <c r="P16" s="163">
        <f t="shared" si="8"/>
        <v>8.25</v>
      </c>
      <c r="Q16" s="163">
        <f t="shared" si="8"/>
        <v>3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>
        <v>1</v>
      </c>
      <c r="D18" s="144"/>
      <c r="E18" s="144"/>
      <c r="F18" s="144"/>
      <c r="G18" s="144"/>
      <c r="H18" s="144">
        <v>2</v>
      </c>
      <c r="I18" s="145"/>
      <c r="K18" s="164">
        <f>C18</f>
        <v>1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2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>
        <v>1</v>
      </c>
      <c r="E19" s="144"/>
      <c r="F19" s="144">
        <v>1</v>
      </c>
      <c r="G19" s="144"/>
      <c r="H19" s="144">
        <v>1</v>
      </c>
      <c r="I19" s="145"/>
      <c r="K19" s="164">
        <f>C19*0.75</f>
        <v>0.75</v>
      </c>
      <c r="L19" s="164">
        <f t="shared" ref="L19:Q19" si="10">D19*0.75</f>
        <v>0.75</v>
      </c>
      <c r="M19" s="164">
        <f t="shared" si="10"/>
        <v>0</v>
      </c>
      <c r="N19" s="164">
        <f t="shared" si="10"/>
        <v>0.75</v>
      </c>
      <c r="O19" s="164">
        <f t="shared" si="10"/>
        <v>0</v>
      </c>
      <c r="P19" s="164">
        <f t="shared" si="10"/>
        <v>0.75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>
        <v>1</v>
      </c>
      <c r="D20" s="144"/>
      <c r="E20" s="144"/>
      <c r="F20" s="144"/>
      <c r="G20" s="144"/>
      <c r="H20" s="144"/>
      <c r="I20" s="145"/>
      <c r="K20" s="164">
        <f>C20</f>
        <v>1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>
        <v>2</v>
      </c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1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>
        <v>1</v>
      </c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0.5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>
        <v>4</v>
      </c>
      <c r="D31" s="144"/>
      <c r="E31" s="144"/>
      <c r="F31" s="144"/>
      <c r="G31" s="144"/>
      <c r="H31" s="144"/>
      <c r="I31" s="145"/>
      <c r="K31" s="164">
        <f>C31</f>
        <v>4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>
        <v>5</v>
      </c>
      <c r="F33" s="146"/>
      <c r="G33" s="146"/>
      <c r="H33" s="146"/>
      <c r="I33" s="147">
        <v>1</v>
      </c>
      <c r="K33" s="165">
        <f>C33/2</f>
        <v>0</v>
      </c>
      <c r="L33" s="165">
        <f t="shared" ref="L33:Q33" si="17">D33/2</f>
        <v>0</v>
      </c>
      <c r="M33" s="165">
        <f t="shared" si="17"/>
        <v>2.5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21</v>
      </c>
      <c r="D35" s="141">
        <f t="shared" ref="D35:I35" si="18">SUM(D5:D13,D16:D26,D29:D33)</f>
        <v>8</v>
      </c>
      <c r="E35" s="141">
        <f t="shared" si="18"/>
        <v>21</v>
      </c>
      <c r="F35" s="141">
        <f t="shared" si="18"/>
        <v>12</v>
      </c>
      <c r="G35" s="141">
        <f t="shared" si="18"/>
        <v>0</v>
      </c>
      <c r="H35" s="141">
        <f t="shared" si="18"/>
        <v>20</v>
      </c>
      <c r="I35" s="141">
        <f t="shared" si="18"/>
        <v>8</v>
      </c>
      <c r="K35" s="28">
        <f>SUM(K5:K33)</f>
        <v>17.25</v>
      </c>
      <c r="L35" s="28">
        <f t="shared" ref="L35:Q35" si="19">SUM(L5:L33)</f>
        <v>6</v>
      </c>
      <c r="M35" s="28">
        <f t="shared" si="19"/>
        <v>14.5</v>
      </c>
      <c r="N35" s="28">
        <f t="shared" si="19"/>
        <v>8.75</v>
      </c>
      <c r="O35" s="28">
        <f t="shared" si="19"/>
        <v>0</v>
      </c>
      <c r="P35" s="28">
        <f t="shared" si="19"/>
        <v>15</v>
      </c>
      <c r="Q35" s="28">
        <f t="shared" si="19"/>
        <v>5.75</v>
      </c>
    </row>
  </sheetData>
  <sheetProtection algorithmName="SHA-512" hashValue="rloukpZtE5RJVEJKU0IalfZs0wPg9lZz4DtYPT1PVqU/9JEvTDqYYMujmFRvNmGUYRuasotfLWFC/rApAYeN/g==" saltValue="Y5jNDft4DMsjL6cAjIty8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0938-6A09-417E-AA55-E623C135A4E2}">
  <sheetPr codeName="Sheet21"/>
  <dimension ref="A1:AE35"/>
  <sheetViews>
    <sheetView topLeftCell="A19" workbookViewId="0">
      <selection activeCell="N3" sqref="N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/>
      <c r="D3" s="106"/>
      <c r="E3" s="106"/>
      <c r="F3" s="106">
        <v>1</v>
      </c>
      <c r="G3" s="106"/>
      <c r="H3" s="106"/>
      <c r="I3" s="107">
        <v>1</v>
      </c>
      <c r="J3" s="101"/>
      <c r="K3" s="160" t="e">
        <f t="shared" ref="K3:Q3" si="0">K35/C3</f>
        <v>#DIV/0!</v>
      </c>
      <c r="L3" s="160" t="e">
        <f t="shared" si="0"/>
        <v>#DIV/0!</v>
      </c>
      <c r="M3" s="160" t="e">
        <f t="shared" si="0"/>
        <v>#DIV/0!</v>
      </c>
      <c r="N3" s="160">
        <f t="shared" si="0"/>
        <v>8</v>
      </c>
      <c r="O3" s="160" t="e">
        <f t="shared" si="0"/>
        <v>#DIV/0!</v>
      </c>
      <c r="P3" s="160" t="e">
        <f t="shared" si="0"/>
        <v>#DIV/0!</v>
      </c>
      <c r="Q3" s="160">
        <f t="shared" si="0"/>
        <v>10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/>
      <c r="D5" s="142"/>
      <c r="E5" s="142"/>
      <c r="F5" s="142"/>
      <c r="G5" s="142"/>
      <c r="H5" s="142"/>
      <c r="I5" s="143"/>
      <c r="K5" s="163">
        <f>C5*0.75</f>
        <v>0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/>
      <c r="E16" s="142"/>
      <c r="F16" s="142"/>
      <c r="G16" s="142"/>
      <c r="H16" s="142"/>
      <c r="I16" s="143"/>
      <c r="K16" s="163">
        <f>C16*0.75</f>
        <v>0</v>
      </c>
      <c r="L16" s="163">
        <f t="shared" ref="L16:Q17" si="8">D16*0.75</f>
        <v>0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0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>
        <v>8</v>
      </c>
      <c r="G31" s="144"/>
      <c r="H31" s="144"/>
      <c r="I31" s="145">
        <v>10</v>
      </c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8</v>
      </c>
      <c r="O31" s="164">
        <f t="shared" si="16"/>
        <v>0</v>
      </c>
      <c r="P31" s="164">
        <f t="shared" si="16"/>
        <v>0</v>
      </c>
      <c r="Q31" s="164">
        <f t="shared" si="16"/>
        <v>10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/>
      <c r="F33" s="146"/>
      <c r="G33" s="146"/>
      <c r="H33" s="146"/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0</v>
      </c>
      <c r="D35" s="141">
        <f t="shared" ref="D35:I35" si="18">SUM(D5:D13,D16:D26,D29:D33)</f>
        <v>0</v>
      </c>
      <c r="E35" s="141">
        <f t="shared" si="18"/>
        <v>0</v>
      </c>
      <c r="F35" s="141">
        <f t="shared" si="18"/>
        <v>8</v>
      </c>
      <c r="G35" s="141">
        <f t="shared" si="18"/>
        <v>0</v>
      </c>
      <c r="H35" s="141">
        <f t="shared" si="18"/>
        <v>0</v>
      </c>
      <c r="I35" s="141">
        <f t="shared" si="18"/>
        <v>10</v>
      </c>
      <c r="K35" s="28">
        <f>SUM(K5:K33)</f>
        <v>0</v>
      </c>
      <c r="L35" s="28">
        <f t="shared" ref="L35:Q35" si="19">SUM(L5:L33)</f>
        <v>0</v>
      </c>
      <c r="M35" s="28">
        <f t="shared" si="19"/>
        <v>0</v>
      </c>
      <c r="N35" s="28">
        <f t="shared" si="19"/>
        <v>8</v>
      </c>
      <c r="O35" s="28">
        <f t="shared" si="19"/>
        <v>0</v>
      </c>
      <c r="P35" s="28">
        <f t="shared" si="19"/>
        <v>0</v>
      </c>
      <c r="Q35" s="28">
        <f t="shared" si="19"/>
        <v>10</v>
      </c>
    </row>
  </sheetData>
  <sheetProtection algorithmName="SHA-512" hashValue="tPEe+L5M1h10Qm7jW3ee0M3M3gq3S7doli3BWG5NAKjqWS0Daozg9Yf8Jiu9JEOqqiPAyC3LzpJh3vL1nBkLeQ==" saltValue="cplmENq19HV2aJgjQgllG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4592-1659-4E6D-B2C2-8A807681E37F}">
  <sheetPr codeName="Sheet22"/>
  <dimension ref="A1:AE35"/>
  <sheetViews>
    <sheetView workbookViewId="0">
      <selection activeCell="H43" sqref="H4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4.166666666666667</v>
      </c>
      <c r="L3" s="160">
        <f t="shared" si="0"/>
        <v>5.5</v>
      </c>
      <c r="M3" s="160">
        <f t="shared" si="0"/>
        <v>6.125</v>
      </c>
      <c r="N3" s="160">
        <f t="shared" si="0"/>
        <v>7.5</v>
      </c>
      <c r="O3" s="160" t="e">
        <f t="shared" si="0"/>
        <v>#DIV/0!</v>
      </c>
      <c r="P3" s="160">
        <f t="shared" si="0"/>
        <v>7.25</v>
      </c>
      <c r="Q3" s="160">
        <f t="shared" si="0"/>
        <v>6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14</v>
      </c>
      <c r="D5" s="142">
        <v>6</v>
      </c>
      <c r="E5" s="142"/>
      <c r="F5" s="142">
        <v>4</v>
      </c>
      <c r="G5" s="142"/>
      <c r="H5" s="142">
        <v>8</v>
      </c>
      <c r="I5" s="143"/>
      <c r="K5" s="163">
        <f>C5*0.75</f>
        <v>10.5</v>
      </c>
      <c r="L5" s="163">
        <f t="shared" ref="L5:Q7" si="1">D5*0.75</f>
        <v>4.5</v>
      </c>
      <c r="M5" s="163">
        <f t="shared" si="1"/>
        <v>0</v>
      </c>
      <c r="N5" s="163">
        <f t="shared" si="1"/>
        <v>3</v>
      </c>
      <c r="O5" s="163">
        <f t="shared" si="1"/>
        <v>0</v>
      </c>
      <c r="P5" s="163">
        <f t="shared" si="1"/>
        <v>6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>
        <v>8</v>
      </c>
      <c r="E16" s="142">
        <v>10</v>
      </c>
      <c r="F16" s="142">
        <v>2</v>
      </c>
      <c r="G16" s="142"/>
      <c r="H16" s="142">
        <v>9</v>
      </c>
      <c r="I16" s="143">
        <v>6</v>
      </c>
      <c r="K16" s="163">
        <f>C16*0.75</f>
        <v>0</v>
      </c>
      <c r="L16" s="163">
        <f t="shared" ref="L16:Q17" si="8">D16*0.75</f>
        <v>6</v>
      </c>
      <c r="M16" s="163">
        <f t="shared" si="8"/>
        <v>7.5</v>
      </c>
      <c r="N16" s="163">
        <f t="shared" si="8"/>
        <v>1.5</v>
      </c>
      <c r="O16" s="163">
        <f t="shared" si="8"/>
        <v>0</v>
      </c>
      <c r="P16" s="163">
        <f t="shared" si="8"/>
        <v>6.75</v>
      </c>
      <c r="Q16" s="163">
        <f t="shared" si="8"/>
        <v>4.5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>
        <v>1</v>
      </c>
      <c r="F19" s="144"/>
      <c r="G19" s="144"/>
      <c r="H19" s="144">
        <v>1</v>
      </c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0.75</v>
      </c>
      <c r="N19" s="164">
        <f t="shared" si="10"/>
        <v>0</v>
      </c>
      <c r="O19" s="164">
        <f t="shared" si="10"/>
        <v>0</v>
      </c>
      <c r="P19" s="164">
        <f t="shared" si="10"/>
        <v>0.75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4</v>
      </c>
      <c r="D26" s="146"/>
      <c r="E26" s="146"/>
      <c r="F26" s="146"/>
      <c r="G26" s="146"/>
      <c r="H26" s="146"/>
      <c r="I26" s="147">
        <v>2</v>
      </c>
      <c r="K26" s="165">
        <f>C26/2</f>
        <v>2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1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>
        <v>1</v>
      </c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1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1</v>
      </c>
      <c r="E33" s="146">
        <v>8</v>
      </c>
      <c r="F33" s="146">
        <v>6</v>
      </c>
      <c r="G33" s="146"/>
      <c r="H33" s="146"/>
      <c r="I33" s="147">
        <v>1</v>
      </c>
      <c r="K33" s="165">
        <f>C33/2</f>
        <v>0</v>
      </c>
      <c r="L33" s="165">
        <f t="shared" ref="L33:Q33" si="17">D33/2</f>
        <v>0.5</v>
      </c>
      <c r="M33" s="165">
        <f t="shared" si="17"/>
        <v>4</v>
      </c>
      <c r="N33" s="165">
        <f t="shared" si="17"/>
        <v>3</v>
      </c>
      <c r="O33" s="165">
        <f t="shared" si="17"/>
        <v>0</v>
      </c>
      <c r="P33" s="165">
        <f t="shared" si="17"/>
        <v>0</v>
      </c>
      <c r="Q33" s="165">
        <f t="shared" si="17"/>
        <v>0.5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18</v>
      </c>
      <c r="D35" s="141">
        <f t="shared" ref="D35:I35" si="18">SUM(D5:D13,D16:D26,D29:D33)</f>
        <v>15</v>
      </c>
      <c r="E35" s="141">
        <f t="shared" si="18"/>
        <v>19</v>
      </c>
      <c r="F35" s="141">
        <f t="shared" si="18"/>
        <v>12</v>
      </c>
      <c r="G35" s="141">
        <f t="shared" si="18"/>
        <v>0</v>
      </c>
      <c r="H35" s="141">
        <f t="shared" si="18"/>
        <v>19</v>
      </c>
      <c r="I35" s="141">
        <f t="shared" si="18"/>
        <v>9</v>
      </c>
      <c r="K35" s="28">
        <f>SUM(K5:K33)</f>
        <v>12.5</v>
      </c>
      <c r="L35" s="28">
        <f t="shared" ref="L35:Q35" si="19">SUM(L5:L33)</f>
        <v>11</v>
      </c>
      <c r="M35" s="28">
        <f t="shared" si="19"/>
        <v>12.25</v>
      </c>
      <c r="N35" s="28">
        <f t="shared" si="19"/>
        <v>7.5</v>
      </c>
      <c r="O35" s="28">
        <f t="shared" si="19"/>
        <v>0</v>
      </c>
      <c r="P35" s="28">
        <f t="shared" si="19"/>
        <v>14.5</v>
      </c>
      <c r="Q35" s="28">
        <f t="shared" si="19"/>
        <v>6</v>
      </c>
    </row>
  </sheetData>
  <sheetProtection algorithmName="SHA-512" hashValue="b5BFu9wAp08hXxSrSQw3S3vo0OJHsqUrgq66e9o5qN63I3O4fRgvVHiKEAJmfLtKQjJEbBkghbX9UblVwDDDiA==" saltValue="j73MOp6+9EWGqEGmORuLC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DCFC-06DB-4D54-A824-B032AD984AC5}">
  <dimension ref="A1:AE35"/>
  <sheetViews>
    <sheetView workbookViewId="0">
      <selection activeCell="I33" sqref="I3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1</v>
      </c>
      <c r="J3" s="101"/>
      <c r="K3" s="160">
        <f t="shared" ref="K3:Q3" si="0">K35/C3</f>
        <v>4.333333333333333</v>
      </c>
      <c r="L3" s="160">
        <f t="shared" si="0"/>
        <v>6.625</v>
      </c>
      <c r="M3" s="160">
        <f t="shared" si="0"/>
        <v>6.625</v>
      </c>
      <c r="N3" s="160">
        <f t="shared" si="0"/>
        <v>23</v>
      </c>
      <c r="O3" s="160" t="e">
        <f t="shared" si="0"/>
        <v>#DIV/0!</v>
      </c>
      <c r="P3" s="160">
        <f t="shared" si="0"/>
        <v>8.375</v>
      </c>
      <c r="Q3" s="160">
        <f t="shared" si="0"/>
        <v>7.25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11</v>
      </c>
      <c r="D5" s="142">
        <v>1</v>
      </c>
      <c r="E5" s="142"/>
      <c r="F5" s="142"/>
      <c r="G5" s="142"/>
      <c r="H5" s="142"/>
      <c r="I5" s="143">
        <v>2</v>
      </c>
      <c r="K5" s="163">
        <f>C5*0.75</f>
        <v>8.25</v>
      </c>
      <c r="L5" s="163">
        <f t="shared" ref="L5:Q7" si="1">D5*0.75</f>
        <v>0.75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1.5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>
        <v>1</v>
      </c>
      <c r="D7" s="144"/>
      <c r="E7" s="144"/>
      <c r="F7" s="144"/>
      <c r="G7" s="144"/>
      <c r="H7" s="144"/>
      <c r="I7" s="145"/>
      <c r="K7" s="164">
        <f t="shared" si="2"/>
        <v>0.75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>
        <v>3</v>
      </c>
      <c r="E9" s="144"/>
      <c r="F9" s="144"/>
      <c r="G9" s="144"/>
      <c r="H9" s="144">
        <v>1</v>
      </c>
      <c r="I9" s="145"/>
      <c r="K9" s="164">
        <f>C9*0.75</f>
        <v>0</v>
      </c>
      <c r="L9" s="164">
        <f t="shared" ref="L9:Q10" si="4">D9*0.75</f>
        <v>2.25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0.75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>
        <v>2</v>
      </c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1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36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12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>
        <v>7</v>
      </c>
      <c r="E16" s="142"/>
      <c r="F16" s="142"/>
      <c r="G16" s="142"/>
      <c r="H16" s="142"/>
      <c r="I16" s="143">
        <v>3</v>
      </c>
      <c r="K16" s="163">
        <f>C16*0.75</f>
        <v>0</v>
      </c>
      <c r="L16" s="163">
        <f t="shared" ref="L16:Q17" si="8">D16*0.75</f>
        <v>5.25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2.25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>
        <v>1</v>
      </c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0.75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4</v>
      </c>
      <c r="D26" s="146"/>
      <c r="E26" s="146">
        <v>1</v>
      </c>
      <c r="F26" s="146"/>
      <c r="G26" s="146"/>
      <c r="H26" s="146"/>
      <c r="I26" s="147">
        <v>4</v>
      </c>
      <c r="K26" s="165">
        <f>C26/2</f>
        <v>2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2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2</v>
      </c>
      <c r="D30" s="144"/>
      <c r="E30" s="144"/>
      <c r="F30" s="144"/>
      <c r="G30" s="144"/>
      <c r="H30" s="144"/>
      <c r="I30" s="145"/>
      <c r="K30" s="164">
        <f>C30</f>
        <v>2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10</v>
      </c>
      <c r="E33" s="146"/>
      <c r="F33" s="146">
        <v>46</v>
      </c>
      <c r="G33" s="146"/>
      <c r="H33" s="146">
        <v>32</v>
      </c>
      <c r="I33" s="147">
        <v>1</v>
      </c>
      <c r="K33" s="165">
        <f>C33/2</f>
        <v>0</v>
      </c>
      <c r="L33" s="165">
        <f t="shared" ref="L33:Q33" si="17">D33/2</f>
        <v>5</v>
      </c>
      <c r="M33" s="165">
        <f t="shared" si="17"/>
        <v>0</v>
      </c>
      <c r="N33" s="165">
        <f t="shared" si="17"/>
        <v>23</v>
      </c>
      <c r="O33" s="165">
        <f t="shared" si="17"/>
        <v>0</v>
      </c>
      <c r="P33" s="165">
        <f t="shared" si="17"/>
        <v>16</v>
      </c>
      <c r="Q33" s="165">
        <f t="shared" si="17"/>
        <v>0.5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18</v>
      </c>
      <c r="D35" s="141">
        <f t="shared" ref="D35:I35" si="18">SUM(D5:D13,D16:D26,D29:D33)</f>
        <v>21</v>
      </c>
      <c r="E35" s="141">
        <f t="shared" si="18"/>
        <v>38</v>
      </c>
      <c r="F35" s="141">
        <f t="shared" si="18"/>
        <v>46</v>
      </c>
      <c r="G35" s="141">
        <f t="shared" si="18"/>
        <v>0</v>
      </c>
      <c r="H35" s="141">
        <f t="shared" si="18"/>
        <v>33</v>
      </c>
      <c r="I35" s="141">
        <f t="shared" si="18"/>
        <v>12</v>
      </c>
      <c r="K35" s="28">
        <f>SUM(K5:K33)</f>
        <v>13</v>
      </c>
      <c r="L35" s="28">
        <f t="shared" ref="L35:Q35" si="19">SUM(L5:L33)</f>
        <v>13.25</v>
      </c>
      <c r="M35" s="28">
        <f t="shared" si="19"/>
        <v>13.25</v>
      </c>
      <c r="N35" s="28">
        <f t="shared" si="19"/>
        <v>23</v>
      </c>
      <c r="O35" s="28">
        <f t="shared" si="19"/>
        <v>0</v>
      </c>
      <c r="P35" s="28">
        <f t="shared" si="19"/>
        <v>16.75</v>
      </c>
      <c r="Q35" s="28">
        <f t="shared" si="19"/>
        <v>7.25</v>
      </c>
    </row>
  </sheetData>
  <sheetProtection algorithmName="SHA-512" hashValue="bLaxRsSIfhXB4nTHXONdZtYkY9EkpQRGymWH4PGVzYRV45rGQpqEHRlf2eqKSHCDWttgl5u/9jUGKPoCKaz9AA==" saltValue="iqaZL6bDLG0m9N46RGT9Q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3350-016E-4331-BAC9-03A64292C02A}">
  <sheetPr codeName="Sheet24"/>
  <dimension ref="A1:AE35"/>
  <sheetViews>
    <sheetView workbookViewId="0">
      <selection activeCell="H21" sqref="H21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1</v>
      </c>
      <c r="J3" s="101"/>
      <c r="K3" s="160">
        <f t="shared" ref="K3:Q3" si="0">K35/C3</f>
        <v>3.0833333333333335</v>
      </c>
      <c r="L3" s="160">
        <f t="shared" si="0"/>
        <v>14.875</v>
      </c>
      <c r="M3" s="160">
        <f t="shared" si="0"/>
        <v>8.75</v>
      </c>
      <c r="N3" s="160">
        <f t="shared" si="0"/>
        <v>9.0416666666666661</v>
      </c>
      <c r="O3" s="160" t="e">
        <f t="shared" si="0"/>
        <v>#DIV/0!</v>
      </c>
      <c r="P3" s="160">
        <f t="shared" si="0"/>
        <v>8</v>
      </c>
      <c r="Q3" s="160">
        <f t="shared" si="0"/>
        <v>7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>
        <v>7</v>
      </c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4</v>
      </c>
      <c r="D5" s="142">
        <v>4</v>
      </c>
      <c r="E5" s="142">
        <v>3</v>
      </c>
      <c r="F5" s="142">
        <v>2</v>
      </c>
      <c r="G5" s="142"/>
      <c r="H5" s="142"/>
      <c r="I5" s="143"/>
      <c r="K5" s="163">
        <f>C5*0.75</f>
        <v>3</v>
      </c>
      <c r="L5" s="163">
        <f t="shared" ref="L5:Q7" si="1">D5*0.75</f>
        <v>3</v>
      </c>
      <c r="M5" s="163">
        <f t="shared" si="1"/>
        <v>2.25</v>
      </c>
      <c r="N5" s="163">
        <f t="shared" si="1"/>
        <v>1.5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>
        <v>1</v>
      </c>
      <c r="D7" s="144"/>
      <c r="E7" s="144"/>
      <c r="F7" s="144"/>
      <c r="G7" s="144"/>
      <c r="H7" s="144"/>
      <c r="I7" s="145"/>
      <c r="K7" s="164">
        <f t="shared" si="2"/>
        <v>0.75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>
        <v>1</v>
      </c>
      <c r="D9" s="144"/>
      <c r="E9" s="144"/>
      <c r="F9" s="144"/>
      <c r="G9" s="144"/>
      <c r="H9" s="144">
        <v>1</v>
      </c>
      <c r="I9" s="145"/>
      <c r="K9" s="164">
        <f>C9*0.75</f>
        <v>0.75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0.75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>
        <v>2</v>
      </c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1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30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10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>
        <v>4</v>
      </c>
      <c r="E16" s="142">
        <v>4</v>
      </c>
      <c r="F16" s="142">
        <v>5</v>
      </c>
      <c r="G16" s="142"/>
      <c r="H16" s="142">
        <v>1</v>
      </c>
      <c r="I16" s="143"/>
      <c r="K16" s="163">
        <f>C16*0.75</f>
        <v>0</v>
      </c>
      <c r="L16" s="163">
        <f t="shared" ref="L16:Q17" si="8">D16*0.75</f>
        <v>3</v>
      </c>
      <c r="M16" s="163">
        <f t="shared" si="8"/>
        <v>3</v>
      </c>
      <c r="N16" s="163">
        <f t="shared" si="8"/>
        <v>3.75</v>
      </c>
      <c r="O16" s="163">
        <f t="shared" si="8"/>
        <v>0</v>
      </c>
      <c r="P16" s="163">
        <f t="shared" si="8"/>
        <v>0.75</v>
      </c>
      <c r="Q16" s="163">
        <f t="shared" si="8"/>
        <v>0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>
        <v>1</v>
      </c>
      <c r="E19" s="144">
        <v>1</v>
      </c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0.75</v>
      </c>
      <c r="M19" s="164">
        <f t="shared" si="10"/>
        <v>0.75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>
        <v>1</v>
      </c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1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>
        <v>1</v>
      </c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0.33333333333333331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>
        <v>1</v>
      </c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1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>
        <v>1</v>
      </c>
      <c r="F26" s="146"/>
      <c r="G26" s="146"/>
      <c r="H26" s="146">
        <v>1</v>
      </c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0.5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4</v>
      </c>
      <c r="D30" s="144"/>
      <c r="E30" s="144"/>
      <c r="F30" s="144"/>
      <c r="G30" s="144"/>
      <c r="H30" s="144">
        <v>1</v>
      </c>
      <c r="I30" s="145"/>
      <c r="K30" s="164">
        <f>C30</f>
        <v>4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1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>
        <v>2</v>
      </c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2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44</v>
      </c>
      <c r="E33" s="146">
        <v>2</v>
      </c>
      <c r="F33" s="146">
        <v>23</v>
      </c>
      <c r="G33" s="146"/>
      <c r="H33" s="146">
        <v>24</v>
      </c>
      <c r="I33" s="147">
        <v>10</v>
      </c>
      <c r="K33" s="165">
        <f>C33/2</f>
        <v>0</v>
      </c>
      <c r="L33" s="165">
        <f t="shared" ref="L33:Q33" si="17">D33/2</f>
        <v>22</v>
      </c>
      <c r="M33" s="165">
        <f t="shared" si="17"/>
        <v>1</v>
      </c>
      <c r="N33" s="165">
        <f t="shared" si="17"/>
        <v>11.5</v>
      </c>
      <c r="O33" s="165">
        <f t="shared" si="17"/>
        <v>0</v>
      </c>
      <c r="P33" s="165">
        <f t="shared" si="17"/>
        <v>12</v>
      </c>
      <c r="Q33" s="165">
        <f t="shared" si="17"/>
        <v>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11</v>
      </c>
      <c r="D35" s="141">
        <f t="shared" ref="D35:I35" si="18">SUM(D5:D13,D16:D26,D29:D33)</f>
        <v>55</v>
      </c>
      <c r="E35" s="141">
        <f t="shared" si="18"/>
        <v>41</v>
      </c>
      <c r="F35" s="141">
        <f t="shared" si="18"/>
        <v>32</v>
      </c>
      <c r="G35" s="141">
        <f t="shared" si="18"/>
        <v>0</v>
      </c>
      <c r="H35" s="141">
        <f t="shared" si="18"/>
        <v>29</v>
      </c>
      <c r="I35" s="141">
        <f t="shared" si="18"/>
        <v>12</v>
      </c>
      <c r="K35" s="28">
        <f>SUM(K5:K33)</f>
        <v>9.25</v>
      </c>
      <c r="L35" s="28">
        <f t="shared" ref="L35:Q35" si="19">SUM(L5:L33)</f>
        <v>29.75</v>
      </c>
      <c r="M35" s="28">
        <f t="shared" si="19"/>
        <v>17.5</v>
      </c>
      <c r="N35" s="28">
        <f t="shared" si="19"/>
        <v>18.083333333333332</v>
      </c>
      <c r="O35" s="28">
        <f t="shared" si="19"/>
        <v>0</v>
      </c>
      <c r="P35" s="28">
        <f t="shared" si="19"/>
        <v>16</v>
      </c>
      <c r="Q35" s="28">
        <f t="shared" si="19"/>
        <v>7</v>
      </c>
    </row>
  </sheetData>
  <sheetProtection algorithmName="SHA-512" hashValue="ReiSp2izK6HKyehOSphFZr4mTO/XOZ9vF29ao/Si2w5yklIunQ57WXcVPUGH9gEsw3mMfulzxY6Q8+iVrFz+LA==" saltValue="6lJbU7oAKKFWihqIqiPy2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C7C3-C91D-4908-BE68-986F15FCE727}">
  <sheetPr codeName="Sheet25"/>
  <dimension ref="A1:AE35"/>
  <sheetViews>
    <sheetView topLeftCell="A19" workbookViewId="0">
      <selection activeCell="I25" sqref="I25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1</v>
      </c>
      <c r="J3" s="101"/>
      <c r="K3" s="160">
        <f t="shared" ref="K3:Q3" si="0">K35/C3</f>
        <v>5.916666666666667</v>
      </c>
      <c r="L3" s="160">
        <f t="shared" si="0"/>
        <v>6.75</v>
      </c>
      <c r="M3" s="160">
        <f t="shared" si="0"/>
        <v>5.0416666666666661</v>
      </c>
      <c r="N3" s="160">
        <f t="shared" si="0"/>
        <v>8</v>
      </c>
      <c r="O3" s="160" t="e">
        <f t="shared" si="0"/>
        <v>#DIV/0!</v>
      </c>
      <c r="P3" s="160">
        <f t="shared" si="0"/>
        <v>9.5</v>
      </c>
      <c r="Q3" s="160">
        <f t="shared" si="0"/>
        <v>4.75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13</v>
      </c>
      <c r="D5" s="142">
        <v>3</v>
      </c>
      <c r="E5" s="142">
        <v>1</v>
      </c>
      <c r="F5" s="142">
        <v>2</v>
      </c>
      <c r="G5" s="142"/>
      <c r="H5" s="142"/>
      <c r="I5" s="143"/>
      <c r="K5" s="163">
        <f>C5*0.75</f>
        <v>9.75</v>
      </c>
      <c r="L5" s="163">
        <f t="shared" ref="L5:Q7" si="1">D5*0.75</f>
        <v>2.25</v>
      </c>
      <c r="M5" s="163">
        <f t="shared" si="1"/>
        <v>0.75</v>
      </c>
      <c r="N5" s="163">
        <f t="shared" si="1"/>
        <v>1.5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>
        <v>1</v>
      </c>
      <c r="E12" s="144"/>
      <c r="F12" s="144"/>
      <c r="G12" s="144"/>
      <c r="H12" s="144"/>
      <c r="I12" s="145">
        <v>4</v>
      </c>
      <c r="K12" s="164">
        <f>C12/2</f>
        <v>0</v>
      </c>
      <c r="L12" s="164">
        <f t="shared" ref="L12:Q12" si="6">D12/2</f>
        <v>0.5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2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22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7.333333333333333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>
        <v>2</v>
      </c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2</v>
      </c>
      <c r="D16" s="142">
        <v>9</v>
      </c>
      <c r="E16" s="142">
        <v>1</v>
      </c>
      <c r="F16" s="142">
        <v>6</v>
      </c>
      <c r="G16" s="142"/>
      <c r="H16" s="142"/>
      <c r="I16" s="143">
        <v>2</v>
      </c>
      <c r="K16" s="163">
        <f>C16*0.75</f>
        <v>1.5</v>
      </c>
      <c r="L16" s="163">
        <f t="shared" ref="L16:Q17" si="8">D16*0.75</f>
        <v>6.75</v>
      </c>
      <c r="M16" s="163">
        <f t="shared" si="8"/>
        <v>0.75</v>
      </c>
      <c r="N16" s="163">
        <f t="shared" si="8"/>
        <v>4.5</v>
      </c>
      <c r="O16" s="163">
        <f t="shared" si="8"/>
        <v>0</v>
      </c>
      <c r="P16" s="163">
        <f t="shared" si="8"/>
        <v>0</v>
      </c>
      <c r="Q16" s="163">
        <f t="shared" si="8"/>
        <v>1.5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>
        <v>1</v>
      </c>
      <c r="F19" s="144"/>
      <c r="G19" s="144"/>
      <c r="H19" s="144"/>
      <c r="I19" s="145">
        <v>1</v>
      </c>
      <c r="K19" s="164">
        <f>C19*0.75</f>
        <v>0</v>
      </c>
      <c r="L19" s="164">
        <f t="shared" ref="L19:Q19" si="10">D19*0.75</f>
        <v>0</v>
      </c>
      <c r="M19" s="164">
        <f t="shared" si="10"/>
        <v>0.75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0.75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2</v>
      </c>
      <c r="D26" s="146"/>
      <c r="E26" s="146"/>
      <c r="F26" s="146">
        <v>1</v>
      </c>
      <c r="G26" s="146"/>
      <c r="H26" s="146"/>
      <c r="I26" s="147">
        <v>1</v>
      </c>
      <c r="K26" s="165">
        <f>C26/2</f>
        <v>1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0.5</v>
      </c>
      <c r="O26" s="165">
        <f t="shared" si="14"/>
        <v>0</v>
      </c>
      <c r="P26" s="165">
        <f t="shared" si="14"/>
        <v>0</v>
      </c>
      <c r="Q26" s="165">
        <f t="shared" si="14"/>
        <v>0.5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1</v>
      </c>
      <c r="D30" s="144"/>
      <c r="E30" s="144"/>
      <c r="F30" s="144"/>
      <c r="G30" s="144"/>
      <c r="H30" s="144"/>
      <c r="I30" s="145"/>
      <c r="K30" s="164">
        <f>C30</f>
        <v>1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>
        <v>9</v>
      </c>
      <c r="D33" s="146">
        <v>8</v>
      </c>
      <c r="E33" s="146">
        <v>1</v>
      </c>
      <c r="F33" s="146">
        <v>19</v>
      </c>
      <c r="G33" s="146"/>
      <c r="H33" s="146">
        <v>38</v>
      </c>
      <c r="I33" s="147"/>
      <c r="K33" s="165">
        <f>C33/2</f>
        <v>4.5</v>
      </c>
      <c r="L33" s="165">
        <f t="shared" ref="L33:Q33" si="17">D33/2</f>
        <v>4</v>
      </c>
      <c r="M33" s="165">
        <f t="shared" si="17"/>
        <v>0.5</v>
      </c>
      <c r="N33" s="165">
        <f t="shared" si="17"/>
        <v>9.5</v>
      </c>
      <c r="O33" s="165">
        <f t="shared" si="17"/>
        <v>0</v>
      </c>
      <c r="P33" s="165">
        <f t="shared" si="17"/>
        <v>19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27</v>
      </c>
      <c r="D35" s="141">
        <f t="shared" ref="D35:I35" si="18">SUM(D5:D13,D16:D26,D29:D33)</f>
        <v>21</v>
      </c>
      <c r="E35" s="141">
        <f t="shared" si="18"/>
        <v>26</v>
      </c>
      <c r="F35" s="141">
        <f t="shared" si="18"/>
        <v>28</v>
      </c>
      <c r="G35" s="141">
        <f t="shared" si="18"/>
        <v>0</v>
      </c>
      <c r="H35" s="141">
        <f t="shared" si="18"/>
        <v>38</v>
      </c>
      <c r="I35" s="141">
        <f t="shared" si="18"/>
        <v>8</v>
      </c>
      <c r="K35" s="28">
        <f>SUM(K5:K33)</f>
        <v>17.75</v>
      </c>
      <c r="L35" s="28">
        <f t="shared" ref="L35:Q35" si="19">SUM(L5:L33)</f>
        <v>13.5</v>
      </c>
      <c r="M35" s="28">
        <f t="shared" si="19"/>
        <v>10.083333333333332</v>
      </c>
      <c r="N35" s="28">
        <f t="shared" si="19"/>
        <v>16</v>
      </c>
      <c r="O35" s="28">
        <f t="shared" si="19"/>
        <v>0</v>
      </c>
      <c r="P35" s="28">
        <f t="shared" si="19"/>
        <v>19</v>
      </c>
      <c r="Q35" s="28">
        <f t="shared" si="19"/>
        <v>4.75</v>
      </c>
    </row>
  </sheetData>
  <sheetProtection algorithmName="SHA-512" hashValue="SWBunS7RN9gfH6rsTkCLaI4AYWlWifzGPYUnxvriwmabSWoXbXgY1663CIo6JYxH10B28XSQpBgPecaTK5sdaA==" saltValue="+U1RO3R3ysNZI/Yqw5dZb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A3F2-773B-476D-BD1C-D772A00FE8BE}">
  <sheetPr codeName="Sheet26"/>
  <dimension ref="A1:AE35"/>
  <sheetViews>
    <sheetView topLeftCell="B15" workbookViewId="0">
      <selection activeCell="C31" sqref="C31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1</v>
      </c>
      <c r="J3" s="101"/>
      <c r="K3" s="160">
        <f t="shared" ref="K3:Q3" si="0">K35/C3</f>
        <v>5.25</v>
      </c>
      <c r="L3" s="160">
        <f t="shared" si="0"/>
        <v>6.375</v>
      </c>
      <c r="M3" s="160">
        <f t="shared" si="0"/>
        <v>5.791666666666667</v>
      </c>
      <c r="N3" s="160">
        <f t="shared" si="0"/>
        <v>8.7916666666666661</v>
      </c>
      <c r="O3" s="160" t="e">
        <f t="shared" si="0"/>
        <v>#DIV/0!</v>
      </c>
      <c r="P3" s="160">
        <f t="shared" si="0"/>
        <v>5.875</v>
      </c>
      <c r="Q3" s="160">
        <f t="shared" si="0"/>
        <v>6.3333333333333339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6</v>
      </c>
      <c r="D5" s="142">
        <v>5</v>
      </c>
      <c r="E5" s="142"/>
      <c r="F5" s="142"/>
      <c r="G5" s="142"/>
      <c r="H5" s="142">
        <v>1</v>
      </c>
      <c r="I5" s="143"/>
      <c r="K5" s="163">
        <f>C5*0.75</f>
        <v>4.5</v>
      </c>
      <c r="L5" s="163">
        <f t="shared" ref="L5:Q7" si="1">D5*0.75</f>
        <v>3.75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0.75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>
        <v>1</v>
      </c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1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>
        <v>1</v>
      </c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0.75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28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9.3333333333333339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2</v>
      </c>
      <c r="D16" s="142">
        <v>2</v>
      </c>
      <c r="E16" s="142"/>
      <c r="F16" s="142">
        <v>1</v>
      </c>
      <c r="G16" s="142"/>
      <c r="H16" s="142">
        <v>6</v>
      </c>
      <c r="I16" s="143">
        <v>3</v>
      </c>
      <c r="K16" s="163">
        <f>C16*0.75</f>
        <v>1.5</v>
      </c>
      <c r="L16" s="163">
        <f t="shared" ref="L16:Q17" si="8">D16*0.75</f>
        <v>1.5</v>
      </c>
      <c r="M16" s="163">
        <f t="shared" si="8"/>
        <v>0</v>
      </c>
      <c r="N16" s="163">
        <f t="shared" si="8"/>
        <v>0.75</v>
      </c>
      <c r="O16" s="163">
        <f t="shared" si="8"/>
        <v>0</v>
      </c>
      <c r="P16" s="163">
        <f t="shared" si="8"/>
        <v>4.5</v>
      </c>
      <c r="Q16" s="163">
        <f t="shared" si="8"/>
        <v>2.25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>
        <v>1</v>
      </c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1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/>
      <c r="E19" s="144">
        <v>1</v>
      </c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</v>
      </c>
      <c r="M19" s="164">
        <f t="shared" si="10"/>
        <v>0.75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>
        <v>1</v>
      </c>
      <c r="G21" s="144"/>
      <c r="H21" s="144"/>
      <c r="I21" s="145">
        <v>1</v>
      </c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0.33333333333333331</v>
      </c>
      <c r="O21" s="164">
        <f t="shared" si="12"/>
        <v>0</v>
      </c>
      <c r="P21" s="164">
        <f t="shared" si="12"/>
        <v>0</v>
      </c>
      <c r="Q21" s="164">
        <f t="shared" si="12"/>
        <v>0.33333333333333331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>
        <v>2</v>
      </c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2</v>
      </c>
    </row>
    <row r="26" spans="1:17" ht="15.75" customHeight="1" thickBot="1" x14ac:dyDescent="0.3">
      <c r="A26" s="122">
        <v>11</v>
      </c>
      <c r="B26" s="134" t="s">
        <v>23</v>
      </c>
      <c r="C26" s="146">
        <v>3</v>
      </c>
      <c r="D26" s="146"/>
      <c r="E26" s="146">
        <v>1</v>
      </c>
      <c r="F26" s="146"/>
      <c r="G26" s="146"/>
      <c r="H26" s="146"/>
      <c r="I26" s="147"/>
      <c r="K26" s="165">
        <f>C26/2</f>
        <v>1.5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>
        <v>1</v>
      </c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1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>
        <v>15</v>
      </c>
      <c r="D33" s="146">
        <v>13</v>
      </c>
      <c r="E33" s="146"/>
      <c r="F33" s="146">
        <v>33</v>
      </c>
      <c r="G33" s="146"/>
      <c r="H33" s="146">
        <v>13</v>
      </c>
      <c r="I33" s="147"/>
      <c r="K33" s="165">
        <f>C33/2</f>
        <v>7.5</v>
      </c>
      <c r="L33" s="165">
        <f t="shared" ref="L33:Q33" si="17">D33/2</f>
        <v>6.5</v>
      </c>
      <c r="M33" s="165">
        <f t="shared" si="17"/>
        <v>0</v>
      </c>
      <c r="N33" s="165">
        <f t="shared" si="17"/>
        <v>16.5</v>
      </c>
      <c r="O33" s="165">
        <f t="shared" si="17"/>
        <v>0</v>
      </c>
      <c r="P33" s="165">
        <f t="shared" si="17"/>
        <v>6.5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27</v>
      </c>
      <c r="D35" s="141">
        <f t="shared" ref="D35:I35" si="18">SUM(D5:D13,D16:D26,D29:D33)</f>
        <v>21</v>
      </c>
      <c r="E35" s="141">
        <f t="shared" si="18"/>
        <v>31</v>
      </c>
      <c r="F35" s="141">
        <f t="shared" si="18"/>
        <v>35</v>
      </c>
      <c r="G35" s="141">
        <f t="shared" si="18"/>
        <v>0</v>
      </c>
      <c r="H35" s="141">
        <f t="shared" si="18"/>
        <v>20</v>
      </c>
      <c r="I35" s="141">
        <f t="shared" si="18"/>
        <v>8</v>
      </c>
      <c r="K35" s="28">
        <f>SUM(K5:K33)</f>
        <v>15.75</v>
      </c>
      <c r="L35" s="28">
        <f t="shared" ref="L35:Q35" si="19">SUM(L5:L33)</f>
        <v>12.75</v>
      </c>
      <c r="M35" s="28">
        <f t="shared" si="19"/>
        <v>11.583333333333334</v>
      </c>
      <c r="N35" s="28">
        <f t="shared" si="19"/>
        <v>17.583333333333332</v>
      </c>
      <c r="O35" s="28">
        <f t="shared" si="19"/>
        <v>0</v>
      </c>
      <c r="P35" s="28">
        <f t="shared" si="19"/>
        <v>11.75</v>
      </c>
      <c r="Q35" s="28">
        <f t="shared" si="19"/>
        <v>6.3333333333333339</v>
      </c>
    </row>
  </sheetData>
  <sheetProtection algorithmName="SHA-512" hashValue="hjAy2iYaUzX5F6tqrcfeDDPFf+zO89XZN5wSwOkX0XfazsLrX57RKPqSuQHz5TOwKiPA6QVvrhwSBgaqpf0FDQ==" saltValue="bwuzvaL5dpPrid0SYJcrmg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B606-42ED-4DE3-B67B-2CAC99F18639}">
  <sheetPr codeName="Sheet27"/>
  <dimension ref="A1:AE35"/>
  <sheetViews>
    <sheetView topLeftCell="A15" workbookViewId="0">
      <selection activeCell="H31" sqref="H31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/>
      <c r="D3" s="106"/>
      <c r="E3" s="106"/>
      <c r="F3" s="106">
        <v>1</v>
      </c>
      <c r="G3" s="106"/>
      <c r="H3" s="106"/>
      <c r="I3" s="107">
        <v>1</v>
      </c>
      <c r="J3" s="101"/>
      <c r="K3" s="160" t="e">
        <f t="shared" ref="K3:Q3" si="0">K35/C3</f>
        <v>#DIV/0!</v>
      </c>
      <c r="L3" s="160" t="e">
        <f t="shared" si="0"/>
        <v>#DIV/0!</v>
      </c>
      <c r="M3" s="160" t="e">
        <f t="shared" si="0"/>
        <v>#DIV/0!</v>
      </c>
      <c r="N3" s="160">
        <f t="shared" si="0"/>
        <v>11</v>
      </c>
      <c r="O3" s="160" t="e">
        <f t="shared" si="0"/>
        <v>#DIV/0!</v>
      </c>
      <c r="P3" s="160" t="e">
        <f t="shared" si="0"/>
        <v>#DIV/0!</v>
      </c>
      <c r="Q3" s="160">
        <f t="shared" si="0"/>
        <v>15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/>
      <c r="D5" s="142"/>
      <c r="E5" s="142"/>
      <c r="F5" s="142"/>
      <c r="G5" s="142"/>
      <c r="H5" s="142"/>
      <c r="I5" s="143"/>
      <c r="K5" s="163">
        <f>C5*0.75</f>
        <v>0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/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/>
      <c r="D16" s="142"/>
      <c r="E16" s="142"/>
      <c r="F16" s="142"/>
      <c r="G16" s="142"/>
      <c r="H16" s="142"/>
      <c r="I16" s="143"/>
      <c r="K16" s="163">
        <f>C16*0.75</f>
        <v>0</v>
      </c>
      <c r="L16" s="163">
        <f t="shared" ref="L16:Q17" si="8">D16*0.75</f>
        <v>0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0</v>
      </c>
      <c r="Q16" s="163">
        <f t="shared" si="8"/>
        <v>0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>
        <v>1</v>
      </c>
      <c r="G26" s="146"/>
      <c r="H26" s="146"/>
      <c r="I26" s="147"/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0.5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>
        <v>8</v>
      </c>
      <c r="G31" s="144"/>
      <c r="H31" s="144"/>
      <c r="I31" s="145">
        <v>15</v>
      </c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8</v>
      </c>
      <c r="O31" s="164">
        <f t="shared" si="16"/>
        <v>0</v>
      </c>
      <c r="P31" s="164">
        <f t="shared" si="16"/>
        <v>0</v>
      </c>
      <c r="Q31" s="164">
        <f t="shared" si="16"/>
        <v>15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/>
      <c r="E33" s="146"/>
      <c r="F33" s="146">
        <v>5</v>
      </c>
      <c r="G33" s="146"/>
      <c r="H33" s="146"/>
      <c r="I33" s="147"/>
      <c r="K33" s="165">
        <f>C33/2</f>
        <v>0</v>
      </c>
      <c r="L33" s="165">
        <f t="shared" ref="L33:Q33" si="17">D33/2</f>
        <v>0</v>
      </c>
      <c r="M33" s="165">
        <f t="shared" si="17"/>
        <v>0</v>
      </c>
      <c r="N33" s="165">
        <f t="shared" si="17"/>
        <v>2.5</v>
      </c>
      <c r="O33" s="165">
        <f t="shared" si="17"/>
        <v>0</v>
      </c>
      <c r="P33" s="165">
        <f t="shared" si="17"/>
        <v>0</v>
      </c>
      <c r="Q33" s="165">
        <f t="shared" si="17"/>
        <v>0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0</v>
      </c>
      <c r="D35" s="141">
        <f t="shared" ref="D35:I35" si="18">SUM(D5:D13,D16:D26,D29:D33)</f>
        <v>0</v>
      </c>
      <c r="E35" s="141">
        <f t="shared" si="18"/>
        <v>0</v>
      </c>
      <c r="F35" s="141">
        <f t="shared" si="18"/>
        <v>14</v>
      </c>
      <c r="G35" s="141">
        <f t="shared" si="18"/>
        <v>0</v>
      </c>
      <c r="H35" s="141">
        <f t="shared" si="18"/>
        <v>0</v>
      </c>
      <c r="I35" s="141">
        <f t="shared" si="18"/>
        <v>15</v>
      </c>
      <c r="K35" s="28">
        <f>SUM(K5:K33)</f>
        <v>0</v>
      </c>
      <c r="L35" s="28">
        <f t="shared" ref="L35:Q35" si="19">SUM(L5:L33)</f>
        <v>0</v>
      </c>
      <c r="M35" s="28">
        <f t="shared" si="19"/>
        <v>0</v>
      </c>
      <c r="N35" s="28">
        <f t="shared" si="19"/>
        <v>11</v>
      </c>
      <c r="O35" s="28">
        <f t="shared" si="19"/>
        <v>0</v>
      </c>
      <c r="P35" s="28">
        <f t="shared" si="19"/>
        <v>0</v>
      </c>
      <c r="Q35" s="28">
        <f t="shared" si="19"/>
        <v>15</v>
      </c>
    </row>
  </sheetData>
  <sheetProtection algorithmName="SHA-512" hashValue="QE4ISCiSApunG86F0CFdy3yDAS8TjU2aCkFABzn/+6K0kA/Ykz4NLcaF1WTT6ssXINGklxj1oR2niOFSxZ0eLA==" saltValue="4CQIC/hMhdh43TyuqYO71Q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B04B-EE8E-4CB8-ABBA-4D005B899BD3}">
  <sheetPr codeName="Sheet28"/>
  <dimension ref="A1:AE35"/>
  <sheetViews>
    <sheetView workbookViewId="0">
      <selection activeCell="F8" sqref="F8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2</v>
      </c>
      <c r="J3" s="101"/>
      <c r="K3" s="160">
        <f t="shared" ref="K3:Q3" si="0">K35/C3</f>
        <v>5.166666666666667</v>
      </c>
      <c r="L3" s="160">
        <f t="shared" si="0"/>
        <v>6.625</v>
      </c>
      <c r="M3" s="160">
        <f t="shared" si="0"/>
        <v>5.625</v>
      </c>
      <c r="N3" s="160">
        <f t="shared" si="0"/>
        <v>6.833333333333333</v>
      </c>
      <c r="O3" s="160" t="e">
        <f t="shared" si="0"/>
        <v>#DIV/0!</v>
      </c>
      <c r="P3" s="160">
        <f t="shared" si="0"/>
        <v>7.125</v>
      </c>
      <c r="Q3" s="160">
        <f t="shared" si="0"/>
        <v>5.75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13</v>
      </c>
      <c r="D5" s="142"/>
      <c r="E5" s="142"/>
      <c r="F5" s="142"/>
      <c r="G5" s="142"/>
      <c r="H5" s="142"/>
      <c r="I5" s="143">
        <v>3</v>
      </c>
      <c r="K5" s="163">
        <f>C5*0.75</f>
        <v>9.75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2.25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30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10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</v>
      </c>
      <c r="D16" s="142">
        <v>7</v>
      </c>
      <c r="E16" s="142"/>
      <c r="F16" s="142">
        <v>2</v>
      </c>
      <c r="G16" s="142"/>
      <c r="H16" s="142"/>
      <c r="I16" s="143">
        <v>7</v>
      </c>
      <c r="K16" s="163">
        <f>C16*0.75</f>
        <v>0.75</v>
      </c>
      <c r="L16" s="163">
        <f t="shared" ref="L16:Q17" si="8">D16*0.75</f>
        <v>5.25</v>
      </c>
      <c r="M16" s="163">
        <f t="shared" si="8"/>
        <v>0</v>
      </c>
      <c r="N16" s="163">
        <f t="shared" si="8"/>
        <v>1.5</v>
      </c>
      <c r="O16" s="163">
        <f t="shared" si="8"/>
        <v>0</v>
      </c>
      <c r="P16" s="163">
        <f t="shared" si="8"/>
        <v>0</v>
      </c>
      <c r="Q16" s="163">
        <f t="shared" si="8"/>
        <v>5.25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>
        <v>1</v>
      </c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0.75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>
        <v>1</v>
      </c>
      <c r="D18" s="144"/>
      <c r="E18" s="144"/>
      <c r="F18" s="144"/>
      <c r="G18" s="144"/>
      <c r="H18" s="144">
        <v>1</v>
      </c>
      <c r="I18" s="145">
        <v>1</v>
      </c>
      <c r="K18" s="164">
        <f>C18</f>
        <v>1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1</v>
      </c>
      <c r="Q18" s="164">
        <f t="shared" si="9"/>
        <v>1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>
        <v>1</v>
      </c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0.75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>
        <v>1</v>
      </c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0.33333333333333331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8</v>
      </c>
      <c r="D26" s="146"/>
      <c r="E26" s="146">
        <v>1</v>
      </c>
      <c r="F26" s="146"/>
      <c r="G26" s="146"/>
      <c r="H26" s="146">
        <v>1</v>
      </c>
      <c r="I26" s="147">
        <v>1</v>
      </c>
      <c r="K26" s="165">
        <f>C26/2</f>
        <v>4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0.5</v>
      </c>
      <c r="Q26" s="165">
        <f t="shared" si="14"/>
        <v>0.5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16</v>
      </c>
      <c r="E33" s="146"/>
      <c r="F33" s="146">
        <v>10</v>
      </c>
      <c r="G33" s="146"/>
      <c r="H33" s="146">
        <v>24</v>
      </c>
      <c r="I33" s="147">
        <v>5</v>
      </c>
      <c r="K33" s="165">
        <f>C33/2</f>
        <v>0</v>
      </c>
      <c r="L33" s="165">
        <f t="shared" ref="L33:Q33" si="17">D33/2</f>
        <v>8</v>
      </c>
      <c r="M33" s="165">
        <f t="shared" si="17"/>
        <v>0</v>
      </c>
      <c r="N33" s="165">
        <f t="shared" si="17"/>
        <v>5</v>
      </c>
      <c r="O33" s="165">
        <f t="shared" si="17"/>
        <v>0</v>
      </c>
      <c r="P33" s="165">
        <f t="shared" si="17"/>
        <v>12</v>
      </c>
      <c r="Q33" s="165">
        <f t="shared" si="17"/>
        <v>2.5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23</v>
      </c>
      <c r="D35" s="141">
        <f t="shared" ref="D35:I35" si="18">SUM(D5:D13,D16:D26,D29:D33)</f>
        <v>23</v>
      </c>
      <c r="E35" s="141">
        <f t="shared" si="18"/>
        <v>32</v>
      </c>
      <c r="F35" s="141">
        <f t="shared" si="18"/>
        <v>13</v>
      </c>
      <c r="G35" s="141">
        <f t="shared" si="18"/>
        <v>0</v>
      </c>
      <c r="H35" s="141">
        <f t="shared" si="18"/>
        <v>27</v>
      </c>
      <c r="I35" s="141">
        <f t="shared" si="18"/>
        <v>17</v>
      </c>
      <c r="K35" s="28">
        <f>SUM(K5:K33)</f>
        <v>15.5</v>
      </c>
      <c r="L35" s="28">
        <f t="shared" ref="L35:Q35" si="19">SUM(L5:L33)</f>
        <v>13.25</v>
      </c>
      <c r="M35" s="28">
        <f t="shared" si="19"/>
        <v>11.25</v>
      </c>
      <c r="N35" s="28">
        <f t="shared" si="19"/>
        <v>6.833333333333333</v>
      </c>
      <c r="O35" s="28">
        <f t="shared" si="19"/>
        <v>0</v>
      </c>
      <c r="P35" s="28">
        <f t="shared" si="19"/>
        <v>14.25</v>
      </c>
      <c r="Q35" s="28">
        <f t="shared" si="19"/>
        <v>11.5</v>
      </c>
    </row>
  </sheetData>
  <sheetProtection algorithmName="SHA-512" hashValue="PGeFgsihD+JcbYWWcfxVOMIEWIrbsYj+ZgCigNAtqmVFyOVgi/kx34eIH/C3aarBli4zdIiTIp5ceHQ6pfnphw==" saltValue="vkwM6p8iJfiBuEBLFjNTe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8214-1222-4974-B5BB-C38029ADBD1C}">
  <sheetPr codeName="Sheet29"/>
  <dimension ref="A1:AE35"/>
  <sheetViews>
    <sheetView workbookViewId="0">
      <selection activeCell="F30" sqref="F30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2</v>
      </c>
      <c r="J3" s="101"/>
      <c r="K3" s="160">
        <f t="shared" ref="K3:Q3" si="0">K35/C3</f>
        <v>5.083333333333333</v>
      </c>
      <c r="L3" s="160">
        <f t="shared" si="0"/>
        <v>6.75</v>
      </c>
      <c r="M3" s="160">
        <f t="shared" si="0"/>
        <v>4.3333333333333339</v>
      </c>
      <c r="N3" s="160">
        <f t="shared" si="0"/>
        <v>4.75</v>
      </c>
      <c r="O3" s="160" t="e">
        <f t="shared" si="0"/>
        <v>#DIV/0!</v>
      </c>
      <c r="P3" s="160">
        <f t="shared" si="0"/>
        <v>8.75</v>
      </c>
      <c r="Q3" s="160">
        <f t="shared" si="0"/>
        <v>6.25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4</v>
      </c>
      <c r="D5" s="142">
        <v>2</v>
      </c>
      <c r="E5" s="142">
        <v>1</v>
      </c>
      <c r="F5" s="142"/>
      <c r="G5" s="142"/>
      <c r="H5" s="142"/>
      <c r="I5" s="143">
        <v>2</v>
      </c>
      <c r="K5" s="163">
        <f>C5*0.75</f>
        <v>3</v>
      </c>
      <c r="L5" s="163">
        <f t="shared" ref="L5:Q7" si="1">D5*0.75</f>
        <v>1.5</v>
      </c>
      <c r="M5" s="163">
        <f t="shared" si="1"/>
        <v>0.75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1.5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>
        <v>1</v>
      </c>
      <c r="D9" s="144"/>
      <c r="E9" s="144"/>
      <c r="F9" s="144"/>
      <c r="G9" s="144"/>
      <c r="H9" s="144"/>
      <c r="I9" s="145"/>
      <c r="K9" s="164">
        <f>C9*0.75</f>
        <v>0.75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>
        <v>2</v>
      </c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2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20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6.666666666666667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>
        <v>10</v>
      </c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9</v>
      </c>
      <c r="D16" s="142">
        <v>8</v>
      </c>
      <c r="E16" s="142">
        <v>1</v>
      </c>
      <c r="F16" s="142">
        <v>2</v>
      </c>
      <c r="G16" s="142"/>
      <c r="H16" s="142"/>
      <c r="I16" s="143">
        <v>8</v>
      </c>
      <c r="K16" s="163">
        <f>C16*0.75</f>
        <v>6.75</v>
      </c>
      <c r="L16" s="163">
        <f t="shared" ref="L16:Q17" si="8">D16*0.75</f>
        <v>6</v>
      </c>
      <c r="M16" s="163">
        <f t="shared" si="8"/>
        <v>0.75</v>
      </c>
      <c r="N16" s="163">
        <f t="shared" si="8"/>
        <v>1.5</v>
      </c>
      <c r="O16" s="163">
        <f t="shared" si="8"/>
        <v>0</v>
      </c>
      <c r="P16" s="163">
        <f t="shared" si="8"/>
        <v>0</v>
      </c>
      <c r="Q16" s="163">
        <f t="shared" si="8"/>
        <v>6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>
        <v>1</v>
      </c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1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/>
      <c r="E19" s="144"/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>
        <v>1</v>
      </c>
      <c r="D20" s="144"/>
      <c r="E20" s="144"/>
      <c r="F20" s="144"/>
      <c r="G20" s="144"/>
      <c r="H20" s="144"/>
      <c r="I20" s="145"/>
      <c r="K20" s="164">
        <f>C20</f>
        <v>1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2</v>
      </c>
      <c r="D26" s="146"/>
      <c r="E26" s="146">
        <v>1</v>
      </c>
      <c r="F26" s="146"/>
      <c r="G26" s="146"/>
      <c r="H26" s="146">
        <v>1</v>
      </c>
      <c r="I26" s="147">
        <v>3</v>
      </c>
      <c r="K26" s="165">
        <f>C26/2</f>
        <v>1</v>
      </c>
      <c r="L26" s="165">
        <f t="shared" ref="L26:Q26" si="14">D26/2</f>
        <v>0</v>
      </c>
      <c r="M26" s="165">
        <f t="shared" si="14"/>
        <v>0.5</v>
      </c>
      <c r="N26" s="165">
        <f t="shared" si="14"/>
        <v>0</v>
      </c>
      <c r="O26" s="165">
        <f t="shared" si="14"/>
        <v>0</v>
      </c>
      <c r="P26" s="165">
        <f t="shared" si="14"/>
        <v>0.5</v>
      </c>
      <c r="Q26" s="165">
        <f t="shared" si="14"/>
        <v>1.5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>
        <v>2</v>
      </c>
      <c r="E32" s="144"/>
      <c r="F32" s="144">
        <v>3</v>
      </c>
      <c r="G32" s="144"/>
      <c r="H32" s="144"/>
      <c r="I32" s="145"/>
      <c r="K32" s="164">
        <f>C32</f>
        <v>0</v>
      </c>
      <c r="L32" s="164">
        <f t="shared" si="16"/>
        <v>2</v>
      </c>
      <c r="M32" s="164">
        <f t="shared" si="16"/>
        <v>0</v>
      </c>
      <c r="N32" s="164">
        <f t="shared" si="16"/>
        <v>3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>
        <v>4</v>
      </c>
      <c r="D33" s="146">
        <v>8</v>
      </c>
      <c r="E33" s="146"/>
      <c r="F33" s="146">
        <v>10</v>
      </c>
      <c r="G33" s="146"/>
      <c r="H33" s="146">
        <v>34</v>
      </c>
      <c r="I33" s="147">
        <v>1</v>
      </c>
      <c r="K33" s="165">
        <f>C33/2</f>
        <v>2</v>
      </c>
      <c r="L33" s="165">
        <f t="shared" ref="L33:Q33" si="17">D33/2</f>
        <v>4</v>
      </c>
      <c r="M33" s="165">
        <f t="shared" si="17"/>
        <v>0</v>
      </c>
      <c r="N33" s="165">
        <f t="shared" si="17"/>
        <v>5</v>
      </c>
      <c r="O33" s="165">
        <f t="shared" si="17"/>
        <v>0</v>
      </c>
      <c r="P33" s="165">
        <f t="shared" si="17"/>
        <v>17</v>
      </c>
      <c r="Q33" s="165">
        <f t="shared" si="17"/>
        <v>0.5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22</v>
      </c>
      <c r="D35" s="141">
        <f t="shared" ref="D35:I35" si="18">SUM(D5:D13,D16:D26,D29:D33)</f>
        <v>20</v>
      </c>
      <c r="E35" s="141">
        <f t="shared" si="18"/>
        <v>23</v>
      </c>
      <c r="F35" s="141">
        <f t="shared" si="18"/>
        <v>15</v>
      </c>
      <c r="G35" s="141">
        <f t="shared" si="18"/>
        <v>0</v>
      </c>
      <c r="H35" s="141">
        <f t="shared" si="18"/>
        <v>35</v>
      </c>
      <c r="I35" s="141">
        <f t="shared" si="18"/>
        <v>17</v>
      </c>
      <c r="K35" s="28">
        <f>SUM(K5:K33)</f>
        <v>15.25</v>
      </c>
      <c r="L35" s="28">
        <f t="shared" ref="L35:Q35" si="19">SUM(L5:L33)</f>
        <v>13.5</v>
      </c>
      <c r="M35" s="28">
        <f t="shared" si="19"/>
        <v>8.6666666666666679</v>
      </c>
      <c r="N35" s="28">
        <f t="shared" si="19"/>
        <v>9.5</v>
      </c>
      <c r="O35" s="28">
        <f t="shared" si="19"/>
        <v>0</v>
      </c>
      <c r="P35" s="28">
        <f t="shared" si="19"/>
        <v>17.5</v>
      </c>
      <c r="Q35" s="28">
        <f t="shared" si="19"/>
        <v>12.5</v>
      </c>
    </row>
  </sheetData>
  <sheetProtection algorithmName="SHA-512" hashValue="Eg568IStZMCeWwFb/ls2IJI3Zy+O5DyTEKVdsjEd3zM3bHv99mKhYNbaw/F0xVLoSNAq+f4k9UkM0CAEwcdxqg==" saltValue="ttvSZwEgeP3dg4p+ydJBf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D46C-D24C-4F3F-A117-9CF49468C763}">
  <sheetPr codeName="Sheet31"/>
  <dimension ref="A1:AE35"/>
  <sheetViews>
    <sheetView workbookViewId="0">
      <selection activeCell="F6" sqref="F6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2</v>
      </c>
      <c r="G3" s="106"/>
      <c r="H3" s="106">
        <v>2</v>
      </c>
      <c r="I3" s="107">
        <v>2</v>
      </c>
      <c r="J3" s="101"/>
      <c r="K3" s="160">
        <f t="shared" ref="K3:Q3" si="0">K35/C3</f>
        <v>5.583333333333333</v>
      </c>
      <c r="L3" s="160">
        <f t="shared" si="0"/>
        <v>3.5</v>
      </c>
      <c r="M3" s="160">
        <f t="shared" si="0"/>
        <v>6.916666666666667</v>
      </c>
      <c r="N3" s="160">
        <f t="shared" si="0"/>
        <v>8.625</v>
      </c>
      <c r="O3" s="160" t="e">
        <f t="shared" si="0"/>
        <v>#DIV/0!</v>
      </c>
      <c r="P3" s="160">
        <f t="shared" si="0"/>
        <v>7.625</v>
      </c>
      <c r="Q3" s="160">
        <f t="shared" si="0"/>
        <v>6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>
        <v>6</v>
      </c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6</v>
      </c>
      <c r="D5" s="142"/>
      <c r="E5" s="142"/>
      <c r="F5" s="142"/>
      <c r="G5" s="142"/>
      <c r="H5" s="142"/>
      <c r="I5" s="143"/>
      <c r="K5" s="163">
        <f>C5*0.75</f>
        <v>4.5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0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>
        <v>1</v>
      </c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0.75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>
        <v>2</v>
      </c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1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40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13.333333333333334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>
        <v>13</v>
      </c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13</v>
      </c>
      <c r="D16" s="142"/>
      <c r="E16" s="142"/>
      <c r="F16" s="142">
        <v>1</v>
      </c>
      <c r="G16" s="142"/>
      <c r="H16" s="142"/>
      <c r="I16" s="143">
        <v>10</v>
      </c>
      <c r="K16" s="163">
        <f>C16*0.75</f>
        <v>9.75</v>
      </c>
      <c r="L16" s="163">
        <f t="shared" ref="L16:Q17" si="8">D16*0.75</f>
        <v>0</v>
      </c>
      <c r="M16" s="163">
        <f t="shared" si="8"/>
        <v>0</v>
      </c>
      <c r="N16" s="163">
        <f t="shared" si="8"/>
        <v>0.75</v>
      </c>
      <c r="O16" s="163">
        <f t="shared" si="8"/>
        <v>0</v>
      </c>
      <c r="P16" s="163">
        <f t="shared" si="8"/>
        <v>0</v>
      </c>
      <c r="Q16" s="163">
        <f t="shared" si="8"/>
        <v>7.5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>
        <v>1</v>
      </c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1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>
        <v>4</v>
      </c>
      <c r="E21" s="144"/>
      <c r="F21" s="144">
        <v>3</v>
      </c>
      <c r="G21" s="144"/>
      <c r="H21" s="144"/>
      <c r="I21" s="145"/>
      <c r="K21" s="164">
        <f>C21/3</f>
        <v>0</v>
      </c>
      <c r="L21" s="164">
        <f t="shared" ref="L21:Q23" si="12">D21/3</f>
        <v>1.3333333333333333</v>
      </c>
      <c r="M21" s="164">
        <f t="shared" si="12"/>
        <v>0</v>
      </c>
      <c r="N21" s="164">
        <f t="shared" si="12"/>
        <v>1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>
        <v>2</v>
      </c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0.66666666666666663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1</v>
      </c>
      <c r="D26" s="146">
        <v>1</v>
      </c>
      <c r="E26" s="146"/>
      <c r="F26" s="146">
        <v>1</v>
      </c>
      <c r="G26" s="146"/>
      <c r="H26" s="146"/>
      <c r="I26" s="147"/>
      <c r="K26" s="165">
        <f>C26/2</f>
        <v>0.5</v>
      </c>
      <c r="L26" s="165">
        <f t="shared" ref="L26:Q26" si="14">D26/2</f>
        <v>0.5</v>
      </c>
      <c r="M26" s="165">
        <f t="shared" si="14"/>
        <v>0</v>
      </c>
      <c r="N26" s="165">
        <f t="shared" si="14"/>
        <v>0.5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/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>
        <v>2</v>
      </c>
      <c r="D31" s="144"/>
      <c r="E31" s="144"/>
      <c r="F31" s="144"/>
      <c r="G31" s="144"/>
      <c r="H31" s="144"/>
      <c r="I31" s="145">
        <v>3</v>
      </c>
      <c r="K31" s="164">
        <f>C31</f>
        <v>2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3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7</v>
      </c>
      <c r="E33" s="146">
        <v>1</v>
      </c>
      <c r="F33" s="146">
        <v>30</v>
      </c>
      <c r="G33" s="146"/>
      <c r="H33" s="146">
        <v>29</v>
      </c>
      <c r="I33" s="147">
        <v>1</v>
      </c>
      <c r="K33" s="165">
        <f>C33/2</f>
        <v>0</v>
      </c>
      <c r="L33" s="165">
        <f t="shared" ref="L33:Q33" si="17">D33/2</f>
        <v>3.5</v>
      </c>
      <c r="M33" s="165">
        <f t="shared" si="17"/>
        <v>0.5</v>
      </c>
      <c r="N33" s="165">
        <f t="shared" si="17"/>
        <v>15</v>
      </c>
      <c r="O33" s="165">
        <f t="shared" si="17"/>
        <v>0</v>
      </c>
      <c r="P33" s="165">
        <f t="shared" si="17"/>
        <v>14.5</v>
      </c>
      <c r="Q33" s="165">
        <f t="shared" si="17"/>
        <v>0.5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22</v>
      </c>
      <c r="D35" s="141">
        <f t="shared" ref="D35:I35" si="18">SUM(D5:D13,D16:D26,D29:D33)</f>
        <v>15</v>
      </c>
      <c r="E35" s="141">
        <f t="shared" si="18"/>
        <v>41</v>
      </c>
      <c r="F35" s="141">
        <f t="shared" si="18"/>
        <v>35</v>
      </c>
      <c r="G35" s="141">
        <f t="shared" si="18"/>
        <v>0</v>
      </c>
      <c r="H35" s="141">
        <f t="shared" si="18"/>
        <v>30</v>
      </c>
      <c r="I35" s="141">
        <f t="shared" si="18"/>
        <v>16</v>
      </c>
      <c r="K35" s="28">
        <f>SUM(K5:K33)</f>
        <v>16.75</v>
      </c>
      <c r="L35" s="28">
        <f t="shared" ref="L35:Q35" si="19">SUM(L5:L33)</f>
        <v>7</v>
      </c>
      <c r="M35" s="28">
        <f t="shared" si="19"/>
        <v>13.833333333333334</v>
      </c>
      <c r="N35" s="28">
        <f t="shared" si="19"/>
        <v>17.25</v>
      </c>
      <c r="O35" s="28">
        <f t="shared" si="19"/>
        <v>0</v>
      </c>
      <c r="P35" s="28">
        <f t="shared" si="19"/>
        <v>15.25</v>
      </c>
      <c r="Q35" s="28">
        <f t="shared" si="19"/>
        <v>12</v>
      </c>
    </row>
  </sheetData>
  <sheetProtection algorithmName="SHA-512" hashValue="BJqljr+T8Jo9zaGGt6Uhdi7XGfCvH1w25ZJWUiWyL8Pq+TGFPUTixFwl9eb3Ndi9NflCAMuxi88YnD65EjevNg==" saltValue="hruEvQsbLtIjSHNllpiU2A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0644-021F-43A6-98C6-A5F285AA500E}">
  <sheetPr codeName="Sheet32"/>
  <dimension ref="A1:AE35"/>
  <sheetViews>
    <sheetView topLeftCell="A24" workbookViewId="0">
      <selection activeCell="H23" sqref="H23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2</v>
      </c>
      <c r="J3" s="101"/>
      <c r="K3" s="160">
        <f t="shared" ref="K3:Q3" si="0">K35/C3</f>
        <v>6.083333333333333</v>
      </c>
      <c r="L3" s="160">
        <f t="shared" si="0"/>
        <v>7.625</v>
      </c>
      <c r="M3" s="160">
        <f t="shared" si="0"/>
        <v>4.7083333333333339</v>
      </c>
      <c r="N3" s="160">
        <f t="shared" si="0"/>
        <v>15</v>
      </c>
      <c r="O3" s="160" t="e">
        <f t="shared" si="0"/>
        <v>#DIV/0!</v>
      </c>
      <c r="P3" s="160">
        <f t="shared" si="0"/>
        <v>6.25</v>
      </c>
      <c r="Q3" s="160">
        <f t="shared" si="0"/>
        <v>7.125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>
        <v>4</v>
      </c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4</v>
      </c>
      <c r="D5" s="142"/>
      <c r="E5" s="142"/>
      <c r="F5" s="142"/>
      <c r="G5" s="142"/>
      <c r="H5" s="142"/>
      <c r="I5" s="143">
        <v>5</v>
      </c>
      <c r="K5" s="163">
        <f>C5*0.75</f>
        <v>3</v>
      </c>
      <c r="L5" s="163">
        <f t="shared" ref="L5:Q7" si="1">D5*0.75</f>
        <v>0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0</v>
      </c>
      <c r="Q5" s="163">
        <f t="shared" si="1"/>
        <v>3.75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>
        <v>1</v>
      </c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0.75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>
        <v>1</v>
      </c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1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>
        <v>1</v>
      </c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0.5</v>
      </c>
    </row>
    <row r="13" spans="1:31" ht="15.75" customHeight="1" thickBot="1" x14ac:dyDescent="0.3">
      <c r="A13" s="122">
        <v>9</v>
      </c>
      <c r="B13" s="123" t="s">
        <v>12</v>
      </c>
      <c r="C13" s="146"/>
      <c r="D13" s="146"/>
      <c r="E13" s="146">
        <v>20</v>
      </c>
      <c r="F13" s="146"/>
      <c r="G13" s="146"/>
      <c r="H13" s="146"/>
      <c r="I13" s="147"/>
      <c r="K13" s="165">
        <f>C13/3</f>
        <v>0</v>
      </c>
      <c r="L13" s="165">
        <f t="shared" ref="L13:Q13" si="7">D13/3</f>
        <v>0</v>
      </c>
      <c r="M13" s="165">
        <f t="shared" si="7"/>
        <v>6.666666666666667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>
        <v>16</v>
      </c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16</v>
      </c>
      <c r="D16" s="142">
        <v>5</v>
      </c>
      <c r="E16" s="142"/>
      <c r="F16" s="142"/>
      <c r="G16" s="142"/>
      <c r="H16" s="142">
        <v>6</v>
      </c>
      <c r="I16" s="143">
        <v>6</v>
      </c>
      <c r="K16" s="163">
        <f>C16*0.75</f>
        <v>12</v>
      </c>
      <c r="L16" s="163">
        <f t="shared" ref="L16:Q17" si="8">D16*0.75</f>
        <v>3.75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4.5</v>
      </c>
      <c r="Q16" s="163">
        <f t="shared" si="8"/>
        <v>4.5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/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>
        <v>2</v>
      </c>
      <c r="E18" s="144"/>
      <c r="F18" s="144"/>
      <c r="G18" s="144"/>
      <c r="H18" s="144">
        <v>1</v>
      </c>
      <c r="I18" s="145">
        <v>1</v>
      </c>
      <c r="K18" s="164">
        <f>C18</f>
        <v>0</v>
      </c>
      <c r="L18" s="164">
        <f t="shared" ref="L18:Q18" si="9">D18</f>
        <v>2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1</v>
      </c>
      <c r="Q18" s="164">
        <f t="shared" si="9"/>
        <v>1</v>
      </c>
    </row>
    <row r="19" spans="1:17" ht="15.75" customHeight="1" x14ac:dyDescent="0.25">
      <c r="A19" s="117">
        <v>4</v>
      </c>
      <c r="B19" s="118" t="s">
        <v>17</v>
      </c>
      <c r="C19" s="144">
        <v>1</v>
      </c>
      <c r="D19" s="144"/>
      <c r="E19" s="144"/>
      <c r="F19" s="144"/>
      <c r="G19" s="144"/>
      <c r="H19" s="144"/>
      <c r="I19" s="145"/>
      <c r="K19" s="164">
        <f>C19*0.75</f>
        <v>0.75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/>
      <c r="D26" s="146"/>
      <c r="E26" s="146"/>
      <c r="F26" s="146"/>
      <c r="G26" s="146"/>
      <c r="H26" s="146"/>
      <c r="I26" s="147">
        <v>2</v>
      </c>
      <c r="K26" s="165">
        <f>C26/2</f>
        <v>0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1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>
        <v>4</v>
      </c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>
        <v>1</v>
      </c>
      <c r="D30" s="144"/>
      <c r="E30" s="144"/>
      <c r="F30" s="144"/>
      <c r="G30" s="144"/>
      <c r="H30" s="144"/>
      <c r="I30" s="145"/>
      <c r="K30" s="164">
        <f>C30</f>
        <v>1</v>
      </c>
      <c r="L30" s="164">
        <f t="shared" ref="L30:Q32" si="16">D30</f>
        <v>0</v>
      </c>
      <c r="M30" s="164">
        <f t="shared" si="16"/>
        <v>0</v>
      </c>
      <c r="N30" s="164">
        <f t="shared" si="16"/>
        <v>0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/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0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>
        <v>3</v>
      </c>
      <c r="D33" s="146">
        <v>19</v>
      </c>
      <c r="E33" s="146">
        <v>2</v>
      </c>
      <c r="F33" s="146">
        <v>30</v>
      </c>
      <c r="G33" s="146"/>
      <c r="H33" s="146">
        <v>14</v>
      </c>
      <c r="I33" s="147">
        <v>7</v>
      </c>
      <c r="K33" s="165">
        <f>C33/2</f>
        <v>1.5</v>
      </c>
      <c r="L33" s="165">
        <f t="shared" ref="L33:Q33" si="17">D33/2</f>
        <v>9.5</v>
      </c>
      <c r="M33" s="165">
        <f t="shared" si="17"/>
        <v>1</v>
      </c>
      <c r="N33" s="165">
        <f t="shared" si="17"/>
        <v>15</v>
      </c>
      <c r="O33" s="165">
        <f t="shared" si="17"/>
        <v>0</v>
      </c>
      <c r="P33" s="165">
        <f t="shared" si="17"/>
        <v>7</v>
      </c>
      <c r="Q33" s="165">
        <f t="shared" si="17"/>
        <v>3.5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25</v>
      </c>
      <c r="D35" s="141">
        <f t="shared" ref="D35:I35" si="18">SUM(D5:D13,D16:D26,D29:D33)</f>
        <v>26</v>
      </c>
      <c r="E35" s="141">
        <f t="shared" si="18"/>
        <v>24</v>
      </c>
      <c r="F35" s="141">
        <f t="shared" si="18"/>
        <v>30</v>
      </c>
      <c r="G35" s="141">
        <f t="shared" si="18"/>
        <v>0</v>
      </c>
      <c r="H35" s="141">
        <f t="shared" si="18"/>
        <v>21</v>
      </c>
      <c r="I35" s="141">
        <f t="shared" si="18"/>
        <v>22</v>
      </c>
      <c r="K35" s="28">
        <f>SUM(K5:K33)</f>
        <v>18.25</v>
      </c>
      <c r="L35" s="28">
        <f t="shared" ref="L35:Q35" si="19">SUM(L5:L33)</f>
        <v>15.25</v>
      </c>
      <c r="M35" s="28">
        <f t="shared" si="19"/>
        <v>9.4166666666666679</v>
      </c>
      <c r="N35" s="28">
        <f t="shared" si="19"/>
        <v>15</v>
      </c>
      <c r="O35" s="28">
        <f t="shared" si="19"/>
        <v>0</v>
      </c>
      <c r="P35" s="28">
        <f t="shared" si="19"/>
        <v>12.5</v>
      </c>
      <c r="Q35" s="28">
        <f t="shared" si="19"/>
        <v>14.25</v>
      </c>
    </row>
  </sheetData>
  <sheetProtection algorithmName="SHA-512" hashValue="PYA74HWLxMvm7koQGJ8Ug80HAOOc/dFgXj9KIvRATsPQD5x2aZyX0KExN8BYbkN/lR3Vkw8D2c8MNHmGA2Z4OA==" saltValue="IXiRhO+YYHmg7veW9lV3w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1760-D623-4138-B36C-6E44EA1F3857}">
  <dimension ref="A1:AE35"/>
  <sheetViews>
    <sheetView topLeftCell="A15" workbookViewId="0">
      <selection activeCell="C18" sqref="C18"/>
    </sheetView>
  </sheetViews>
  <sheetFormatPr defaultRowHeight="15" x14ac:dyDescent="0.25"/>
  <cols>
    <col min="1" max="1" width="6.5703125" style="99" customWidth="1"/>
    <col min="2" max="2" width="41.42578125" style="99" customWidth="1"/>
    <col min="3" max="3" width="6" style="99" bestFit="1" customWidth="1"/>
    <col min="4" max="4" width="6.140625" style="99" bestFit="1" customWidth="1"/>
    <col min="5" max="6" width="5.7109375" style="99" customWidth="1"/>
    <col min="7" max="7" width="5.5703125" style="99" bestFit="1" customWidth="1"/>
    <col min="8" max="8" width="5.85546875" style="99" bestFit="1" customWidth="1"/>
    <col min="9" max="9" width="5.5703125" style="99" bestFit="1" customWidth="1"/>
    <col min="10" max="10" width="5.7109375" style="99" customWidth="1"/>
    <col min="11" max="11" width="5.7109375" style="14" customWidth="1"/>
    <col min="12" max="17" width="5.7109375" customWidth="1"/>
    <col min="18" max="33" width="5.7109375" style="99" customWidth="1"/>
    <col min="34" max="16384" width="9.140625" style="99"/>
  </cols>
  <sheetData>
    <row r="1" spans="1:31" ht="15.75" thickBot="1" x14ac:dyDescent="0.3"/>
    <row r="2" spans="1:31" ht="19.5" thickBot="1" x14ac:dyDescent="0.35">
      <c r="A2" s="101"/>
      <c r="B2" s="101"/>
      <c r="C2" s="102" t="s">
        <v>36</v>
      </c>
      <c r="D2" s="103" t="s">
        <v>37</v>
      </c>
      <c r="E2" s="103" t="s">
        <v>38</v>
      </c>
      <c r="F2" s="103" t="s">
        <v>39</v>
      </c>
      <c r="G2" s="103" t="s">
        <v>40</v>
      </c>
      <c r="H2" s="103" t="s">
        <v>41</v>
      </c>
      <c r="I2" s="104" t="s">
        <v>42</v>
      </c>
      <c r="J2" s="101"/>
      <c r="K2" s="159" t="s">
        <v>36</v>
      </c>
      <c r="L2" s="159" t="s">
        <v>37</v>
      </c>
      <c r="M2" s="159" t="s">
        <v>38</v>
      </c>
      <c r="N2" s="159" t="s">
        <v>39</v>
      </c>
      <c r="O2" s="159" t="s">
        <v>40</v>
      </c>
      <c r="P2" s="159" t="s">
        <v>41</v>
      </c>
      <c r="Q2" s="159" t="s">
        <v>42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6.5" customHeight="1" thickBot="1" x14ac:dyDescent="0.35">
      <c r="A3" s="101"/>
      <c r="B3" s="105" t="s">
        <v>43</v>
      </c>
      <c r="C3" s="106">
        <v>3</v>
      </c>
      <c r="D3" s="106">
        <v>2</v>
      </c>
      <c r="E3" s="106">
        <v>2</v>
      </c>
      <c r="F3" s="106">
        <v>1</v>
      </c>
      <c r="G3" s="106"/>
      <c r="H3" s="106">
        <v>2</v>
      </c>
      <c r="I3" s="107">
        <v>2</v>
      </c>
      <c r="J3" s="101"/>
      <c r="K3" s="160">
        <f t="shared" ref="K3:Q3" si="0">K35/C3</f>
        <v>5.083333333333333</v>
      </c>
      <c r="L3" s="160">
        <f t="shared" si="0"/>
        <v>6.125</v>
      </c>
      <c r="M3" s="160">
        <f t="shared" si="0"/>
        <v>6.125</v>
      </c>
      <c r="N3" s="160">
        <f t="shared" si="0"/>
        <v>5.5</v>
      </c>
      <c r="O3" s="160" t="e">
        <f t="shared" si="0"/>
        <v>#DIV/0!</v>
      </c>
      <c r="P3" s="160">
        <f t="shared" si="0"/>
        <v>5.5</v>
      </c>
      <c r="Q3" s="160">
        <f t="shared" si="0"/>
        <v>6.5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thickBot="1" x14ac:dyDescent="0.3">
      <c r="A4" s="108" t="s">
        <v>1</v>
      </c>
      <c r="B4" s="109" t="s">
        <v>2</v>
      </c>
      <c r="C4" s="110"/>
      <c r="D4" s="111"/>
      <c r="E4" s="111"/>
      <c r="F4" s="111"/>
      <c r="G4" s="111"/>
      <c r="H4" s="111"/>
      <c r="I4" s="112"/>
      <c r="K4" s="161"/>
      <c r="L4" s="162"/>
      <c r="M4" s="162"/>
      <c r="N4" s="162"/>
      <c r="O4" s="162"/>
      <c r="P4" s="162"/>
      <c r="Q4" s="162"/>
    </row>
    <row r="5" spans="1:31" ht="15.75" customHeight="1" x14ac:dyDescent="0.25">
      <c r="A5" s="113">
        <v>1</v>
      </c>
      <c r="B5" s="114" t="s">
        <v>4</v>
      </c>
      <c r="C5" s="142">
        <v>6</v>
      </c>
      <c r="D5" s="142">
        <v>6</v>
      </c>
      <c r="E5" s="142"/>
      <c r="F5" s="142"/>
      <c r="G5" s="142"/>
      <c r="H5" s="142">
        <v>4</v>
      </c>
      <c r="I5" s="143">
        <v>6</v>
      </c>
      <c r="K5" s="163">
        <f>C5*0.75</f>
        <v>4.5</v>
      </c>
      <c r="L5" s="163">
        <f t="shared" ref="L5:Q7" si="1">D5*0.75</f>
        <v>4.5</v>
      </c>
      <c r="M5" s="163">
        <f t="shared" si="1"/>
        <v>0</v>
      </c>
      <c r="N5" s="163">
        <f t="shared" si="1"/>
        <v>0</v>
      </c>
      <c r="O5" s="163">
        <f t="shared" si="1"/>
        <v>0</v>
      </c>
      <c r="P5" s="163">
        <f t="shared" si="1"/>
        <v>3</v>
      </c>
      <c r="Q5" s="163">
        <f t="shared" si="1"/>
        <v>4.5</v>
      </c>
    </row>
    <row r="6" spans="1:31" ht="15.75" customHeight="1" x14ac:dyDescent="0.25">
      <c r="A6" s="117">
        <v>2</v>
      </c>
      <c r="B6" s="118" t="s">
        <v>5</v>
      </c>
      <c r="C6" s="144"/>
      <c r="D6" s="144"/>
      <c r="E6" s="144"/>
      <c r="F6" s="144"/>
      <c r="G6" s="144"/>
      <c r="H6" s="144"/>
      <c r="I6" s="145"/>
      <c r="K6" s="164">
        <f t="shared" ref="K6:K7" si="2">C6*0.75</f>
        <v>0</v>
      </c>
      <c r="L6" s="164">
        <f t="shared" si="1"/>
        <v>0</v>
      </c>
      <c r="M6" s="164">
        <f t="shared" si="1"/>
        <v>0</v>
      </c>
      <c r="N6" s="164">
        <f t="shared" si="1"/>
        <v>0</v>
      </c>
      <c r="O6" s="164">
        <f t="shared" si="1"/>
        <v>0</v>
      </c>
      <c r="P6" s="164">
        <f t="shared" si="1"/>
        <v>0</v>
      </c>
      <c r="Q6" s="164">
        <f t="shared" si="1"/>
        <v>0</v>
      </c>
    </row>
    <row r="7" spans="1:31" ht="15.75" customHeight="1" x14ac:dyDescent="0.25">
      <c r="A7" s="117">
        <v>3</v>
      </c>
      <c r="B7" s="118" t="s">
        <v>6</v>
      </c>
      <c r="C7" s="144"/>
      <c r="D7" s="144"/>
      <c r="E7" s="144"/>
      <c r="F7" s="144"/>
      <c r="G7" s="144"/>
      <c r="H7" s="144"/>
      <c r="I7" s="145"/>
      <c r="K7" s="164">
        <f t="shared" si="2"/>
        <v>0</v>
      </c>
      <c r="L7" s="164">
        <f t="shared" si="1"/>
        <v>0</v>
      </c>
      <c r="M7" s="164">
        <f t="shared" si="1"/>
        <v>0</v>
      </c>
      <c r="N7" s="164">
        <f t="shared" si="1"/>
        <v>0</v>
      </c>
      <c r="O7" s="164">
        <f t="shared" si="1"/>
        <v>0</v>
      </c>
      <c r="P7" s="164">
        <f t="shared" si="1"/>
        <v>0</v>
      </c>
      <c r="Q7" s="164">
        <f t="shared" si="1"/>
        <v>0</v>
      </c>
    </row>
    <row r="8" spans="1:31" ht="15.75" customHeight="1" x14ac:dyDescent="0.25">
      <c r="A8" s="117">
        <v>4</v>
      </c>
      <c r="B8" s="118" t="s">
        <v>7</v>
      </c>
      <c r="C8" s="144"/>
      <c r="D8" s="144"/>
      <c r="E8" s="144"/>
      <c r="F8" s="144"/>
      <c r="G8" s="144"/>
      <c r="H8" s="144"/>
      <c r="I8" s="145"/>
      <c r="K8" s="164">
        <f>C8</f>
        <v>0</v>
      </c>
      <c r="L8" s="164">
        <f t="shared" ref="L8:Q8" si="3">D8</f>
        <v>0</v>
      </c>
      <c r="M8" s="164">
        <f t="shared" si="3"/>
        <v>0</v>
      </c>
      <c r="N8" s="164">
        <f t="shared" si="3"/>
        <v>0</v>
      </c>
      <c r="O8" s="164">
        <f t="shared" si="3"/>
        <v>0</v>
      </c>
      <c r="P8" s="164">
        <f t="shared" si="3"/>
        <v>0</v>
      </c>
      <c r="Q8" s="164">
        <f t="shared" si="3"/>
        <v>0</v>
      </c>
    </row>
    <row r="9" spans="1:31" ht="15.75" customHeight="1" x14ac:dyDescent="0.25">
      <c r="A9" s="117">
        <v>5</v>
      </c>
      <c r="B9" s="118" t="s">
        <v>8</v>
      </c>
      <c r="C9" s="144"/>
      <c r="D9" s="144"/>
      <c r="E9" s="144"/>
      <c r="F9" s="144"/>
      <c r="G9" s="144"/>
      <c r="H9" s="144"/>
      <c r="I9" s="145"/>
      <c r="K9" s="164">
        <f>C9*0.75</f>
        <v>0</v>
      </c>
      <c r="L9" s="164">
        <f t="shared" ref="L9:Q10" si="4">D9*0.75</f>
        <v>0</v>
      </c>
      <c r="M9" s="164">
        <f t="shared" si="4"/>
        <v>0</v>
      </c>
      <c r="N9" s="164">
        <f t="shared" si="4"/>
        <v>0</v>
      </c>
      <c r="O9" s="164">
        <f t="shared" si="4"/>
        <v>0</v>
      </c>
      <c r="P9" s="164">
        <f t="shared" si="4"/>
        <v>0</v>
      </c>
      <c r="Q9" s="164">
        <f t="shared" si="4"/>
        <v>0</v>
      </c>
    </row>
    <row r="10" spans="1:31" ht="15.75" customHeight="1" x14ac:dyDescent="0.25">
      <c r="A10" s="117">
        <v>6</v>
      </c>
      <c r="B10" s="118" t="s">
        <v>9</v>
      </c>
      <c r="C10" s="144"/>
      <c r="D10" s="144"/>
      <c r="E10" s="144"/>
      <c r="F10" s="144"/>
      <c r="G10" s="144"/>
      <c r="H10" s="144"/>
      <c r="I10" s="145"/>
      <c r="K10" s="164">
        <f>C10*0.75</f>
        <v>0</v>
      </c>
      <c r="L10" s="164">
        <f t="shared" si="4"/>
        <v>0</v>
      </c>
      <c r="M10" s="164">
        <f t="shared" si="4"/>
        <v>0</v>
      </c>
      <c r="N10" s="164">
        <f t="shared" si="4"/>
        <v>0</v>
      </c>
      <c r="O10" s="164">
        <f t="shared" si="4"/>
        <v>0</v>
      </c>
      <c r="P10" s="164">
        <f t="shared" si="4"/>
        <v>0</v>
      </c>
      <c r="Q10" s="164">
        <f t="shared" si="4"/>
        <v>0</v>
      </c>
    </row>
    <row r="11" spans="1:31" ht="15.75" customHeight="1" x14ac:dyDescent="0.25">
      <c r="A11" s="117">
        <v>7</v>
      </c>
      <c r="B11" s="118" t="s">
        <v>10</v>
      </c>
      <c r="C11" s="144"/>
      <c r="D11" s="144"/>
      <c r="E11" s="144"/>
      <c r="F11" s="144"/>
      <c r="G11" s="144"/>
      <c r="H11" s="144"/>
      <c r="I11" s="145"/>
      <c r="K11" s="164">
        <f>C11</f>
        <v>0</v>
      </c>
      <c r="L11" s="164">
        <f t="shared" ref="L11:Q11" si="5">D11</f>
        <v>0</v>
      </c>
      <c r="M11" s="164">
        <f t="shared" si="5"/>
        <v>0</v>
      </c>
      <c r="N11" s="164">
        <f t="shared" si="5"/>
        <v>0</v>
      </c>
      <c r="O11" s="164">
        <f t="shared" si="5"/>
        <v>0</v>
      </c>
      <c r="P11" s="164">
        <f t="shared" si="5"/>
        <v>0</v>
      </c>
      <c r="Q11" s="164">
        <f t="shared" si="5"/>
        <v>0</v>
      </c>
    </row>
    <row r="12" spans="1:31" ht="15.75" customHeight="1" x14ac:dyDescent="0.25">
      <c r="A12" s="117">
        <v>8</v>
      </c>
      <c r="B12" s="118" t="s">
        <v>11</v>
      </c>
      <c r="C12" s="144"/>
      <c r="D12" s="144"/>
      <c r="E12" s="144"/>
      <c r="F12" s="144"/>
      <c r="G12" s="144"/>
      <c r="H12" s="144"/>
      <c r="I12" s="145"/>
      <c r="K12" s="164">
        <f>C12/2</f>
        <v>0</v>
      </c>
      <c r="L12" s="164">
        <f t="shared" ref="L12:Q12" si="6">D12/2</f>
        <v>0</v>
      </c>
      <c r="M12" s="164">
        <f t="shared" si="6"/>
        <v>0</v>
      </c>
      <c r="N12" s="164">
        <f t="shared" si="6"/>
        <v>0</v>
      </c>
      <c r="O12" s="164">
        <f t="shared" si="6"/>
        <v>0</v>
      </c>
      <c r="P12" s="164">
        <f t="shared" si="6"/>
        <v>0</v>
      </c>
      <c r="Q12" s="164">
        <f t="shared" si="6"/>
        <v>0</v>
      </c>
    </row>
    <row r="13" spans="1:31" ht="15.75" customHeight="1" thickBot="1" x14ac:dyDescent="0.3">
      <c r="A13" s="122">
        <v>9</v>
      </c>
      <c r="B13" s="123" t="s">
        <v>12</v>
      </c>
      <c r="C13" s="146">
        <v>15</v>
      </c>
      <c r="D13" s="146"/>
      <c r="E13" s="146">
        <v>30</v>
      </c>
      <c r="F13" s="146"/>
      <c r="G13" s="146"/>
      <c r="H13" s="146"/>
      <c r="I13" s="147"/>
      <c r="K13" s="165">
        <f>C13/3</f>
        <v>5</v>
      </c>
      <c r="L13" s="165">
        <f t="shared" ref="L13:Q13" si="7">D13/3</f>
        <v>0</v>
      </c>
      <c r="M13" s="165">
        <f t="shared" si="7"/>
        <v>10</v>
      </c>
      <c r="N13" s="165">
        <f t="shared" si="7"/>
        <v>0</v>
      </c>
      <c r="O13" s="165">
        <f t="shared" si="7"/>
        <v>0</v>
      </c>
      <c r="P13" s="165">
        <f t="shared" si="7"/>
        <v>0</v>
      </c>
      <c r="Q13" s="165">
        <f t="shared" si="7"/>
        <v>0</v>
      </c>
    </row>
    <row r="14" spans="1:31" ht="15" customHeight="1" thickBot="1" x14ac:dyDescent="0.3">
      <c r="A14" s="100"/>
      <c r="B14" s="127"/>
      <c r="C14" s="128"/>
      <c r="E14" s="128"/>
      <c r="G14" s="128"/>
      <c r="H14" s="128"/>
      <c r="K14" s="166"/>
      <c r="L14" s="167"/>
      <c r="M14" s="167"/>
      <c r="N14" s="167"/>
      <c r="O14" s="167"/>
      <c r="P14" s="167"/>
      <c r="Q14" s="167"/>
    </row>
    <row r="15" spans="1:31" ht="15.75" thickBot="1" x14ac:dyDescent="0.3">
      <c r="A15" s="129"/>
      <c r="B15" s="130" t="s">
        <v>13</v>
      </c>
      <c r="C15" s="131"/>
      <c r="D15" s="131"/>
      <c r="E15" s="131"/>
      <c r="F15" s="131"/>
      <c r="G15" s="131"/>
      <c r="H15" s="131"/>
      <c r="I15" s="132"/>
      <c r="K15" s="161"/>
      <c r="L15" s="162"/>
      <c r="M15" s="162"/>
      <c r="N15" s="162"/>
      <c r="O15" s="162"/>
      <c r="P15" s="162"/>
      <c r="Q15" s="162"/>
    </row>
    <row r="16" spans="1:31" ht="15.75" customHeight="1" x14ac:dyDescent="0.25">
      <c r="A16" s="117">
        <v>1</v>
      </c>
      <c r="B16" s="114" t="s">
        <v>14</v>
      </c>
      <c r="C16" s="142">
        <v>7</v>
      </c>
      <c r="D16" s="142">
        <v>7</v>
      </c>
      <c r="E16" s="142"/>
      <c r="F16" s="142"/>
      <c r="G16" s="142"/>
      <c r="H16" s="142">
        <v>8</v>
      </c>
      <c r="I16" s="143">
        <v>6</v>
      </c>
      <c r="K16" s="163">
        <f>C16*0.75</f>
        <v>5.25</v>
      </c>
      <c r="L16" s="163">
        <f t="shared" ref="L16:Q17" si="8">D16*0.75</f>
        <v>5.25</v>
      </c>
      <c r="M16" s="163">
        <f t="shared" si="8"/>
        <v>0</v>
      </c>
      <c r="N16" s="163">
        <f t="shared" si="8"/>
        <v>0</v>
      </c>
      <c r="O16" s="163">
        <f t="shared" si="8"/>
        <v>0</v>
      </c>
      <c r="P16" s="163">
        <f t="shared" si="8"/>
        <v>6</v>
      </c>
      <c r="Q16" s="163">
        <f t="shared" si="8"/>
        <v>4.5</v>
      </c>
    </row>
    <row r="17" spans="1:17" ht="15.75" customHeight="1" x14ac:dyDescent="0.25">
      <c r="A17" s="117">
        <v>2</v>
      </c>
      <c r="B17" s="118" t="s">
        <v>15</v>
      </c>
      <c r="C17" s="144"/>
      <c r="D17" s="144"/>
      <c r="E17" s="144">
        <v>1</v>
      </c>
      <c r="F17" s="144"/>
      <c r="G17" s="144"/>
      <c r="H17" s="144"/>
      <c r="I17" s="145"/>
      <c r="K17" s="164">
        <f>C17*0.75</f>
        <v>0</v>
      </c>
      <c r="L17" s="164">
        <f t="shared" si="8"/>
        <v>0</v>
      </c>
      <c r="M17" s="164">
        <f t="shared" si="8"/>
        <v>0.75</v>
      </c>
      <c r="N17" s="164">
        <f t="shared" si="8"/>
        <v>0</v>
      </c>
      <c r="O17" s="164">
        <f t="shared" si="8"/>
        <v>0</v>
      </c>
      <c r="P17" s="164">
        <f t="shared" si="8"/>
        <v>0</v>
      </c>
      <c r="Q17" s="164">
        <f t="shared" si="8"/>
        <v>0</v>
      </c>
    </row>
    <row r="18" spans="1:17" ht="15.75" customHeight="1" x14ac:dyDescent="0.25">
      <c r="A18" s="117">
        <v>3</v>
      </c>
      <c r="B18" s="118" t="s">
        <v>16</v>
      </c>
      <c r="C18" s="144"/>
      <c r="D18" s="144"/>
      <c r="E18" s="144"/>
      <c r="F18" s="144"/>
      <c r="G18" s="144"/>
      <c r="H18" s="144"/>
      <c r="I18" s="145"/>
      <c r="K18" s="164">
        <f>C18</f>
        <v>0</v>
      </c>
      <c r="L18" s="164">
        <f t="shared" ref="L18:Q18" si="9">D18</f>
        <v>0</v>
      </c>
      <c r="M18" s="164">
        <f t="shared" si="9"/>
        <v>0</v>
      </c>
      <c r="N18" s="164">
        <f t="shared" si="9"/>
        <v>0</v>
      </c>
      <c r="O18" s="164">
        <f t="shared" si="9"/>
        <v>0</v>
      </c>
      <c r="P18" s="164">
        <f t="shared" si="9"/>
        <v>0</v>
      </c>
      <c r="Q18" s="164">
        <f t="shared" si="9"/>
        <v>0</v>
      </c>
    </row>
    <row r="19" spans="1:17" ht="15.75" customHeight="1" x14ac:dyDescent="0.25">
      <c r="A19" s="117">
        <v>4</v>
      </c>
      <c r="B19" s="118" t="s">
        <v>17</v>
      </c>
      <c r="C19" s="144"/>
      <c r="D19" s="144"/>
      <c r="E19" s="144"/>
      <c r="F19" s="144"/>
      <c r="G19" s="144"/>
      <c r="H19" s="144"/>
      <c r="I19" s="145"/>
      <c r="K19" s="164">
        <f>C19*0.75</f>
        <v>0</v>
      </c>
      <c r="L19" s="164">
        <f t="shared" ref="L19:Q19" si="10">D19*0.75</f>
        <v>0</v>
      </c>
      <c r="M19" s="164">
        <f t="shared" si="10"/>
        <v>0</v>
      </c>
      <c r="N19" s="164">
        <f t="shared" si="10"/>
        <v>0</v>
      </c>
      <c r="O19" s="164">
        <f t="shared" si="10"/>
        <v>0</v>
      </c>
      <c r="P19" s="164">
        <f t="shared" si="10"/>
        <v>0</v>
      </c>
      <c r="Q19" s="164">
        <f t="shared" si="10"/>
        <v>0</v>
      </c>
    </row>
    <row r="20" spans="1:17" ht="15.75" customHeight="1" x14ac:dyDescent="0.25">
      <c r="A20" s="117">
        <v>5</v>
      </c>
      <c r="B20" s="118" t="s">
        <v>10</v>
      </c>
      <c r="C20" s="144"/>
      <c r="D20" s="144"/>
      <c r="E20" s="144"/>
      <c r="F20" s="144"/>
      <c r="G20" s="144"/>
      <c r="H20" s="144"/>
      <c r="I20" s="145"/>
      <c r="K20" s="164">
        <f>C20</f>
        <v>0</v>
      </c>
      <c r="L20" s="164">
        <f t="shared" ref="L20:Q20" si="11">D20</f>
        <v>0</v>
      </c>
      <c r="M20" s="164">
        <f t="shared" si="11"/>
        <v>0</v>
      </c>
      <c r="N20" s="164">
        <f t="shared" si="11"/>
        <v>0</v>
      </c>
      <c r="O20" s="164">
        <f t="shared" si="11"/>
        <v>0</v>
      </c>
      <c r="P20" s="164">
        <f t="shared" si="11"/>
        <v>0</v>
      </c>
      <c r="Q20" s="164">
        <f t="shared" si="11"/>
        <v>0</v>
      </c>
    </row>
    <row r="21" spans="1:17" ht="15.75" customHeight="1" x14ac:dyDescent="0.25">
      <c r="A21" s="117">
        <v>6</v>
      </c>
      <c r="B21" s="118" t="s">
        <v>11</v>
      </c>
      <c r="C21" s="144"/>
      <c r="D21" s="144"/>
      <c r="E21" s="144"/>
      <c r="F21" s="144"/>
      <c r="G21" s="144"/>
      <c r="H21" s="144"/>
      <c r="I21" s="145"/>
      <c r="K21" s="164">
        <f>C21/3</f>
        <v>0</v>
      </c>
      <c r="L21" s="164">
        <f t="shared" ref="L21:Q23" si="12">D21/3</f>
        <v>0</v>
      </c>
      <c r="M21" s="164">
        <f t="shared" si="12"/>
        <v>0</v>
      </c>
      <c r="N21" s="164">
        <f t="shared" si="12"/>
        <v>0</v>
      </c>
      <c r="O21" s="164">
        <f t="shared" si="12"/>
        <v>0</v>
      </c>
      <c r="P21" s="164">
        <f t="shared" si="12"/>
        <v>0</v>
      </c>
      <c r="Q21" s="164">
        <f t="shared" si="12"/>
        <v>0</v>
      </c>
    </row>
    <row r="22" spans="1:17" ht="15.75" customHeight="1" x14ac:dyDescent="0.25">
      <c r="A22" s="117">
        <v>7</v>
      </c>
      <c r="B22" s="133" t="s">
        <v>19</v>
      </c>
      <c r="C22" s="144"/>
      <c r="D22" s="144"/>
      <c r="E22" s="144"/>
      <c r="F22" s="144"/>
      <c r="G22" s="144"/>
      <c r="H22" s="144"/>
      <c r="I22" s="145"/>
      <c r="K22" s="164">
        <f>C22/3</f>
        <v>0</v>
      </c>
      <c r="L22" s="164">
        <f t="shared" si="12"/>
        <v>0</v>
      </c>
      <c r="M22" s="164">
        <f t="shared" si="12"/>
        <v>0</v>
      </c>
      <c r="N22" s="164">
        <f t="shared" si="12"/>
        <v>0</v>
      </c>
      <c r="O22" s="164">
        <f t="shared" si="12"/>
        <v>0</v>
      </c>
      <c r="P22" s="164">
        <f t="shared" si="12"/>
        <v>0</v>
      </c>
      <c r="Q22" s="164">
        <f t="shared" si="12"/>
        <v>0</v>
      </c>
    </row>
    <row r="23" spans="1:17" ht="15.75" customHeight="1" x14ac:dyDescent="0.25">
      <c r="A23" s="117">
        <v>8</v>
      </c>
      <c r="B23" s="118" t="s">
        <v>20</v>
      </c>
      <c r="C23" s="144"/>
      <c r="D23" s="144"/>
      <c r="E23" s="144"/>
      <c r="F23" s="144"/>
      <c r="G23" s="144"/>
      <c r="H23" s="144"/>
      <c r="I23" s="145"/>
      <c r="K23" s="164">
        <f>C23/3</f>
        <v>0</v>
      </c>
      <c r="L23" s="164">
        <f t="shared" si="12"/>
        <v>0</v>
      </c>
      <c r="M23" s="164">
        <f t="shared" si="12"/>
        <v>0</v>
      </c>
      <c r="N23" s="164">
        <f t="shared" si="12"/>
        <v>0</v>
      </c>
      <c r="O23" s="164">
        <f t="shared" si="12"/>
        <v>0</v>
      </c>
      <c r="P23" s="164">
        <f t="shared" si="12"/>
        <v>0</v>
      </c>
      <c r="Q23" s="164">
        <f t="shared" si="12"/>
        <v>0</v>
      </c>
    </row>
    <row r="24" spans="1:17" ht="15.75" customHeight="1" x14ac:dyDescent="0.25">
      <c r="A24" s="117">
        <v>9</v>
      </c>
      <c r="B24" s="118" t="s">
        <v>21</v>
      </c>
      <c r="C24" s="144"/>
      <c r="D24" s="144"/>
      <c r="E24" s="144"/>
      <c r="F24" s="144"/>
      <c r="G24" s="144"/>
      <c r="H24" s="144"/>
      <c r="I24" s="145"/>
      <c r="K24" s="164">
        <f>C24</f>
        <v>0</v>
      </c>
      <c r="L24" s="164">
        <f t="shared" ref="L24:Q25" si="13">D24</f>
        <v>0</v>
      </c>
      <c r="M24" s="164">
        <f t="shared" si="13"/>
        <v>0</v>
      </c>
      <c r="N24" s="164">
        <f t="shared" si="13"/>
        <v>0</v>
      </c>
      <c r="O24" s="164">
        <f t="shared" si="13"/>
        <v>0</v>
      </c>
      <c r="P24" s="164">
        <f t="shared" si="13"/>
        <v>0</v>
      </c>
      <c r="Q24" s="164">
        <f t="shared" si="13"/>
        <v>0</v>
      </c>
    </row>
    <row r="25" spans="1:17" ht="15.75" customHeight="1" x14ac:dyDescent="0.25">
      <c r="A25" s="117">
        <v>10</v>
      </c>
      <c r="B25" s="118" t="s">
        <v>22</v>
      </c>
      <c r="C25" s="144"/>
      <c r="D25" s="144"/>
      <c r="E25" s="144"/>
      <c r="F25" s="144"/>
      <c r="G25" s="144"/>
      <c r="H25" s="144"/>
      <c r="I25" s="145"/>
      <c r="K25" s="164">
        <f>C25</f>
        <v>0</v>
      </c>
      <c r="L25" s="164">
        <f t="shared" si="13"/>
        <v>0</v>
      </c>
      <c r="M25" s="164">
        <f t="shared" si="13"/>
        <v>0</v>
      </c>
      <c r="N25" s="164">
        <f t="shared" si="13"/>
        <v>0</v>
      </c>
      <c r="O25" s="164">
        <f t="shared" si="13"/>
        <v>0</v>
      </c>
      <c r="P25" s="164">
        <f t="shared" si="13"/>
        <v>0</v>
      </c>
      <c r="Q25" s="164">
        <f t="shared" si="13"/>
        <v>0</v>
      </c>
    </row>
    <row r="26" spans="1:17" ht="15.75" customHeight="1" thickBot="1" x14ac:dyDescent="0.3">
      <c r="A26" s="122">
        <v>11</v>
      </c>
      <c r="B26" s="134" t="s">
        <v>23</v>
      </c>
      <c r="C26" s="146">
        <v>1</v>
      </c>
      <c r="D26" s="146"/>
      <c r="E26" s="146"/>
      <c r="F26" s="146"/>
      <c r="G26" s="146"/>
      <c r="H26" s="146"/>
      <c r="I26" s="147"/>
      <c r="K26" s="165">
        <f>C26/2</f>
        <v>0.5</v>
      </c>
      <c r="L26" s="165">
        <f t="shared" ref="L26:Q26" si="14">D26/2</f>
        <v>0</v>
      </c>
      <c r="M26" s="165">
        <f t="shared" si="14"/>
        <v>0</v>
      </c>
      <c r="N26" s="165">
        <f t="shared" si="14"/>
        <v>0</v>
      </c>
      <c r="O26" s="165">
        <f t="shared" si="14"/>
        <v>0</v>
      </c>
      <c r="P26" s="165">
        <f t="shared" si="14"/>
        <v>0</v>
      </c>
      <c r="Q26" s="165">
        <f t="shared" si="14"/>
        <v>0</v>
      </c>
    </row>
    <row r="27" spans="1:17" ht="15" customHeight="1" thickBot="1" x14ac:dyDescent="0.3">
      <c r="A27" s="135"/>
      <c r="B27" s="136"/>
      <c r="D27" s="128"/>
      <c r="E27" s="128"/>
      <c r="G27" s="128"/>
      <c r="H27" s="128"/>
      <c r="K27" s="166"/>
      <c r="L27" s="166"/>
      <c r="M27" s="166"/>
      <c r="N27" s="166"/>
      <c r="O27" s="166"/>
      <c r="P27" s="166"/>
      <c r="Q27" s="166"/>
    </row>
    <row r="28" spans="1:17" ht="15.75" thickBot="1" x14ac:dyDescent="0.3">
      <c r="A28" s="129"/>
      <c r="B28" s="130" t="s">
        <v>24</v>
      </c>
      <c r="C28" s="131"/>
      <c r="D28" s="131"/>
      <c r="E28" s="131"/>
      <c r="F28" s="131"/>
      <c r="G28" s="131"/>
      <c r="H28" s="131"/>
      <c r="I28" s="132"/>
      <c r="K28" s="161"/>
      <c r="L28" s="161"/>
      <c r="M28" s="161"/>
      <c r="N28" s="161"/>
      <c r="O28" s="161"/>
      <c r="P28" s="161"/>
      <c r="Q28" s="161"/>
    </row>
    <row r="29" spans="1:17" ht="15.75" customHeight="1" x14ac:dyDescent="0.25">
      <c r="A29" s="117">
        <v>1</v>
      </c>
      <c r="B29" s="137" t="s">
        <v>25</v>
      </c>
      <c r="C29" s="142"/>
      <c r="D29" s="142"/>
      <c r="E29" s="142"/>
      <c r="F29" s="142"/>
      <c r="G29" s="142"/>
      <c r="H29" s="142"/>
      <c r="I29" s="143"/>
      <c r="K29" s="163">
        <f>C29/2</f>
        <v>0</v>
      </c>
      <c r="L29" s="163">
        <f t="shared" ref="L29:Q29" si="15">D29/2</f>
        <v>0</v>
      </c>
      <c r="M29" s="163">
        <f t="shared" si="15"/>
        <v>0</v>
      </c>
      <c r="N29" s="163">
        <f t="shared" si="15"/>
        <v>0</v>
      </c>
      <c r="O29" s="163">
        <f t="shared" si="15"/>
        <v>0</v>
      </c>
      <c r="P29" s="163">
        <f t="shared" si="15"/>
        <v>0</v>
      </c>
      <c r="Q29" s="163">
        <f t="shared" si="15"/>
        <v>0</v>
      </c>
    </row>
    <row r="30" spans="1:17" ht="15.75" customHeight="1" x14ac:dyDescent="0.25">
      <c r="A30" s="117">
        <v>2</v>
      </c>
      <c r="B30" s="138" t="s">
        <v>26</v>
      </c>
      <c r="C30" s="144"/>
      <c r="D30" s="144"/>
      <c r="E30" s="144"/>
      <c r="F30" s="144">
        <v>3</v>
      </c>
      <c r="G30" s="144"/>
      <c r="H30" s="144"/>
      <c r="I30" s="145"/>
      <c r="K30" s="164">
        <f>C30</f>
        <v>0</v>
      </c>
      <c r="L30" s="164">
        <f t="shared" ref="L30:Q32" si="16">D30</f>
        <v>0</v>
      </c>
      <c r="M30" s="164">
        <f t="shared" si="16"/>
        <v>0</v>
      </c>
      <c r="N30" s="164">
        <f t="shared" si="16"/>
        <v>3</v>
      </c>
      <c r="O30" s="164">
        <f t="shared" si="16"/>
        <v>0</v>
      </c>
      <c r="P30" s="164">
        <f t="shared" si="16"/>
        <v>0</v>
      </c>
      <c r="Q30" s="164">
        <f t="shared" si="16"/>
        <v>0</v>
      </c>
    </row>
    <row r="31" spans="1:17" ht="15.75" customHeight="1" x14ac:dyDescent="0.25">
      <c r="A31" s="117">
        <v>3</v>
      </c>
      <c r="B31" s="138" t="s">
        <v>27</v>
      </c>
      <c r="C31" s="144"/>
      <c r="D31" s="144"/>
      <c r="E31" s="144"/>
      <c r="F31" s="144"/>
      <c r="G31" s="144"/>
      <c r="H31" s="144"/>
      <c r="I31" s="145">
        <v>3</v>
      </c>
      <c r="K31" s="164">
        <f>C31</f>
        <v>0</v>
      </c>
      <c r="L31" s="164">
        <f t="shared" si="16"/>
        <v>0</v>
      </c>
      <c r="M31" s="164">
        <f t="shared" si="16"/>
        <v>0</v>
      </c>
      <c r="N31" s="164">
        <f t="shared" si="16"/>
        <v>0</v>
      </c>
      <c r="O31" s="164">
        <f t="shared" si="16"/>
        <v>0</v>
      </c>
      <c r="P31" s="164">
        <f t="shared" si="16"/>
        <v>0</v>
      </c>
      <c r="Q31" s="164">
        <f t="shared" si="16"/>
        <v>3</v>
      </c>
    </row>
    <row r="32" spans="1:17" ht="15.75" customHeight="1" x14ac:dyDescent="0.25">
      <c r="A32" s="117">
        <v>4</v>
      </c>
      <c r="B32" s="138" t="s">
        <v>28</v>
      </c>
      <c r="C32" s="144"/>
      <c r="D32" s="144"/>
      <c r="E32" s="144"/>
      <c r="F32" s="144"/>
      <c r="G32" s="144"/>
      <c r="H32" s="144"/>
      <c r="I32" s="145"/>
      <c r="K32" s="164">
        <f>C32</f>
        <v>0</v>
      </c>
      <c r="L32" s="164">
        <f t="shared" si="16"/>
        <v>0</v>
      </c>
      <c r="M32" s="164">
        <f t="shared" si="16"/>
        <v>0</v>
      </c>
      <c r="N32" s="164">
        <f t="shared" si="16"/>
        <v>0</v>
      </c>
      <c r="O32" s="164">
        <f t="shared" si="16"/>
        <v>0</v>
      </c>
      <c r="P32" s="164">
        <f t="shared" si="16"/>
        <v>0</v>
      </c>
      <c r="Q32" s="164">
        <f t="shared" si="16"/>
        <v>0</v>
      </c>
    </row>
    <row r="33" spans="1:17" ht="15.75" customHeight="1" thickBot="1" x14ac:dyDescent="0.3">
      <c r="A33" s="122">
        <v>5</v>
      </c>
      <c r="B33" s="139" t="s">
        <v>29</v>
      </c>
      <c r="C33" s="146"/>
      <c r="D33" s="146">
        <v>5</v>
      </c>
      <c r="E33" s="146">
        <v>3</v>
      </c>
      <c r="F33" s="146">
        <v>5</v>
      </c>
      <c r="G33" s="146"/>
      <c r="H33" s="146">
        <v>4</v>
      </c>
      <c r="I33" s="147">
        <v>2</v>
      </c>
      <c r="K33" s="165">
        <f>C33/2</f>
        <v>0</v>
      </c>
      <c r="L33" s="165">
        <f t="shared" ref="L33:Q33" si="17">D33/2</f>
        <v>2.5</v>
      </c>
      <c r="M33" s="165">
        <f t="shared" si="17"/>
        <v>1.5</v>
      </c>
      <c r="N33" s="165">
        <f t="shared" si="17"/>
        <v>2.5</v>
      </c>
      <c r="O33" s="165">
        <f t="shared" si="17"/>
        <v>0</v>
      </c>
      <c r="P33" s="165">
        <f t="shared" si="17"/>
        <v>2</v>
      </c>
      <c r="Q33" s="165">
        <f t="shared" si="17"/>
        <v>1</v>
      </c>
    </row>
    <row r="34" spans="1:17" ht="15.75" thickBot="1" x14ac:dyDescent="0.3">
      <c r="K34" s="161"/>
      <c r="L34" s="162"/>
      <c r="M34" s="162"/>
      <c r="N34" s="162"/>
      <c r="O34" s="162"/>
      <c r="P34" s="162"/>
      <c r="Q34" s="162"/>
    </row>
    <row r="35" spans="1:17" ht="15.75" thickBot="1" x14ac:dyDescent="0.3">
      <c r="B35" s="140" t="s">
        <v>44</v>
      </c>
      <c r="C35" s="141">
        <f>SUM(C5:C13,C16:C26,C29:C33)</f>
        <v>29</v>
      </c>
      <c r="D35" s="141">
        <f t="shared" ref="D35:I35" si="18">SUM(D5:D13,D16:D26,D29:D33)</f>
        <v>18</v>
      </c>
      <c r="E35" s="141">
        <f t="shared" si="18"/>
        <v>34</v>
      </c>
      <c r="F35" s="141">
        <f t="shared" si="18"/>
        <v>8</v>
      </c>
      <c r="G35" s="141">
        <f t="shared" si="18"/>
        <v>0</v>
      </c>
      <c r="H35" s="141">
        <f t="shared" si="18"/>
        <v>16</v>
      </c>
      <c r="I35" s="141">
        <f t="shared" si="18"/>
        <v>17</v>
      </c>
      <c r="K35" s="28">
        <f>SUM(K5:K33)</f>
        <v>15.25</v>
      </c>
      <c r="L35" s="28">
        <f t="shared" ref="L35:Q35" si="19">SUM(L5:L33)</f>
        <v>12.25</v>
      </c>
      <c r="M35" s="28">
        <f t="shared" si="19"/>
        <v>12.25</v>
      </c>
      <c r="N35" s="28">
        <f t="shared" si="19"/>
        <v>5.5</v>
      </c>
      <c r="O35" s="28">
        <f t="shared" si="19"/>
        <v>0</v>
      </c>
      <c r="P35" s="28">
        <f t="shared" si="19"/>
        <v>11</v>
      </c>
      <c r="Q35" s="28">
        <f t="shared" si="19"/>
        <v>13</v>
      </c>
    </row>
  </sheetData>
  <sheetProtection algorithmName="SHA-512" hashValue="f/aXkQRa7XtpR2O4H/Ff4AxVC+e+Hh0gDlkt9pv7HUl1jphYLKTZR6rkzGB7m5x5+T+aXHN9kaFpCPjdxQ98OQ==" saltValue="eY0zvH9LOELWareM9tDoEw==" spinCount="100000" sheet="1" objects="1" scenarios="1"/>
  <conditionalFormatting sqref="K3:Q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5B43A74C8B742AD8C64595919E0DE" ma:contentTypeVersion="3" ma:contentTypeDescription="Create a new document." ma:contentTypeScope="" ma:versionID="d952c6d38dc899bc47f3776f0166fc70">
  <xsd:schema xmlns:xsd="http://www.w3.org/2001/XMLSchema" xmlns:xs="http://www.w3.org/2001/XMLSchema" xmlns:p="http://schemas.microsoft.com/office/2006/metadata/properties" xmlns:ns2="d3eef59a-23d6-42be-856d-88461806aae0" targetNamespace="http://schemas.microsoft.com/office/2006/metadata/properties" ma:root="true" ma:fieldsID="4e088d1c0d1428709911a528ff23ff3d" ns2:_="">
    <xsd:import namespace="d3eef59a-23d6-42be-856d-88461806a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ef59a-23d6-42be-856d-88461806aa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ADD177-E3E4-440F-8591-5FDAB1B06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1C2370-C1F1-43E5-B13F-1BF554C235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B7104B-A722-4400-858E-86ABB40E1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eef59a-23d6-42be-856d-88461806a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DPR</vt:lpstr>
      <vt:lpstr>DMI</vt:lpstr>
      <vt:lpstr>DPE</vt:lpstr>
      <vt:lpstr>DPZ</vt:lpstr>
      <vt:lpstr>DFE</vt:lpstr>
      <vt:lpstr>DGL</vt:lpstr>
      <vt:lpstr>DGJ</vt:lpstr>
      <vt:lpstr>Performanca</vt:lpstr>
      <vt:lpstr>TOTALI</vt:lpstr>
      <vt:lpstr>Nr. i ekipeve</vt:lpstr>
      <vt:lpstr>01.07.2026</vt:lpstr>
      <vt:lpstr>02.07.2026</vt:lpstr>
      <vt:lpstr>03.07.2026</vt:lpstr>
      <vt:lpstr>04.07.2026</vt:lpstr>
      <vt:lpstr>06.07.2026</vt:lpstr>
      <vt:lpstr>07.07.2026</vt:lpstr>
      <vt:lpstr>08.07.2026</vt:lpstr>
      <vt:lpstr>09.07.2026</vt:lpstr>
      <vt:lpstr>10.07.2026</vt:lpstr>
      <vt:lpstr>11.07.2026</vt:lpstr>
      <vt:lpstr>13.07.2026</vt:lpstr>
      <vt:lpstr>14.07.2026</vt:lpstr>
      <vt:lpstr>15.07.2026</vt:lpstr>
      <vt:lpstr>16.07.2026</vt:lpstr>
      <vt:lpstr>17.07.2026</vt:lpstr>
      <vt:lpstr>18.07.2026</vt:lpstr>
      <vt:lpstr>20.07.2026</vt:lpstr>
      <vt:lpstr>21.07.2026</vt:lpstr>
      <vt:lpstr>22.07.2026</vt:lpstr>
      <vt:lpstr>23.07.2026</vt:lpstr>
      <vt:lpstr>24.07.2026</vt:lpstr>
      <vt:lpstr>25.07.2026</vt:lpstr>
      <vt:lpstr>27.07.2026</vt:lpstr>
      <vt:lpstr>28.07.2026</vt:lpstr>
      <vt:lpstr>29.07.2026</vt:lpstr>
      <vt:lpstr>30.07.2026</vt:lpstr>
      <vt:lpstr>31.07.2026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Alton THAÇI</cp:lastModifiedBy>
  <cp:revision/>
  <dcterms:created xsi:type="dcterms:W3CDTF">2018-06-25T07:27:29Z</dcterms:created>
  <dcterms:modified xsi:type="dcterms:W3CDTF">2026-08-05T13:19:26Z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0x0101008805B43A74C8B742AD8C64595919E0DE</vt:lpwstr>
  </property>
</Properties>
</file>